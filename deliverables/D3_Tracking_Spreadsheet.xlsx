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Quick_Log" sheetId="2" r:id="rId2"/>
    <sheet name="Trade_Log" sheetId="3" r:id="rId3"/>
    <sheet name="Daily_Scorecard" sheetId="4" r:id="rId4"/>
    <sheet name="Weekly_Review" sheetId="5" r:id="rId5"/>
    <sheet name="Journal" sheetId="6" r:id="rId6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6">
    <numFmt numFmtId="164" formatCode="yyyy-mm-dd"/>
    <numFmt numFmtId="165" formatCode="0.0%"/>
    <numFmt numFmtId="166" formatCode="₹#,##0.00"/>
    <numFmt numFmtId="167" formatCode="0.00"/>
    <numFmt numFmtId="168" formatCode="0.00&quot; R&quot;"/>
    <numFmt numFmtId="169" formatCode="#,##0"/>
  </numFmts>
  <fonts count="14">
    <!-- 0: Standard normal -->
    <font>
      <sz val="10"/>
      <name val="Segoe UI"/>
      <color rgb="FF1E293B"/>
    </font>
    <!-- 1: Header (Dark Navy bold white) -->
    <font>
      <b/>
      <sz val="10.5"/>
      <name val="Segoe UI"/>
      <color rgb="FFFFFFFF"/>
    </font>
    <!-- 2: Bold Normal -->
    <font>
      <b/>
      <sz val="10"/>
      <name val="Segoe UI"/>
      <color rgb="FF0F172A"/>
    </font>
    <!-- 3: Red Bold -->
    <font>
      <b/>
      <sz val="10"/>
      <name val="Segoe UI"/>
      <color rgb="FF991B1B"/>
    </font>
    <!-- 4: Green Bold -->
    <font>
      <b/>
      <sz val="10"/>
      <name val="Segoe UI"/>
      <color rgb="FF065F46"/>
    </font>
    <!-- 5: Orange Bold -->
    <font>
      <b/>
      <sz val="10"/>
      <name val="Segoe UI"/>
      <color rgb="FF92400E"/>
    </font>
    <!-- 6: Title font (16pt bold navy) -->
    <font>
      <b/>
      <sz val="16"/>
      <name val="Segoe UI"/>
      <color rgb="FF0F172A"/>
    </font>
    <!-- 7: Subtitle font (10pt slate) -->
    <font>
      <sz val="10"/>
      <name val="Segoe UI"/>
      <color rgb="FF64748B"/>
    </font>
    <!-- 8: Card Title font (9pt bold slate uppercase) -->
    <font>
      <b/>
      <sz val="9"/>
      <name val="Segoe UI"/>
      <color rgb="FF475569"/>
    </font>
    <!-- 9: Card Metric Large (18pt bold navy) -->
    <font>
      <b/>
      <sz val="18"/>
      <name val="Segoe UI"/>
      <color rgb="FF0F172A"/>
    </font>
    <!-- 10: Card Subtext (8.5pt muted) -->
    <font>
      <sz val="8.5"/>
      <name val="Segoe UI"/>
      <color rgb="FF64748B"/>
    </font>
    <!-- 11: Section Header (12pt bold navy) -->
    <font>
      <b/>
      <sz val="12"/>
      <name val="Segoe UI"/>
      <color rgb="FF1E293B"/>
    </font>
    <!-- 12: Fast Entry Input Header (Bright Blue bold white) -->
    <font>
      <b/>
      <sz val="11"/>
      <name val="Segoe UI"/>
      <color rgb="FFFFFFFF"/>
    </font>
    <!-- 13: Auto-Calc Header (Muted Gray italic) -->
    <font>
      <sz val="9.5"/>
      <name val="Segoe UI"/>
      <color rgb="FF64748B"/>
    </font>
  </fonts>
  <fills count="12">
    <fill>
      <patternFill fillType="none"/>
    </fill>
    <fill>
      <patternFill fillType="gray125"/>
    </fill>
    <!-- 2: Dark Navy Header Fill (#0F172A) -->
    <fill>
      <patternFill fillType="solid">
        <fgColor rgb="FF0F172A"/>
      </patternFill>
    </fill>
    <!-- 3: Slate Subheader Fill (#1E293B) -->
    <fill>
      <patternFill fillType="solid">
        <fgColor rgb="FF1E293B"/>
      </patternFill>
    </fill>
    <!-- 4: Card Background Fill (#F8FAFC) -->
    <fill>
      <patternFill fillType="solid">
        <fgColor rgb="FFF8FAFC"/>
      </patternFill>
    </fill>
    <!-- 5: Soft Red Fill (#FEE2E2) -->
    <fill>
      <patternFill fillType="solid">
        <fgColor rgb="FFFEE2E2"/>
      </patternFill>
    </fill>
    <!-- 6: Soft Green Fill (#D1FAE5) -->
    <fill>
      <patternFill fillType="solid">
        <fgColor rgb="FFD1FAE5"/>
      </patternFill>
    </fill>
    <!-- 7: Soft Orange Fill (#FEF3C7) -->
    <fill>
      <patternFill fillType="solid">
        <fgColor rgb="FFFEF3C7"/>
      </patternFill>
    </fill>
    <!-- 8: Fast Entry Action Blue Fill (#2563EB) -->
    <fill>
      <patternFill fillType="solid">
        <fgColor rgb="FF2563EB"/>
      </patternFill>
    </fill>
    <!-- 9: Light Slate (#F1F5F9) -->
    <fill>
      <patternFill fillType="solid">
        <fgColor rgb="FFF1F5F9"/>
      </patternFill>
    </fill>
    <!-- 10: Auto-Calc Gray Fill (#E2E8F0) -->
    <fill>
      <patternFill fillType="solid">
        <fgColor rgb="FFE2E8F0"/>
      </patternFill>
    </fill>
    <!-- 11: Soft Highlight Input Fill (#EFF6FF) -->
    <fill>
      <patternFill fillType="solid">
        <fgColor rgb="FFEFF6FF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</border>
    <border>
      <left style="thin">
        <color rgb="FFE2E8F0"/>
      </left>
      <right style="thin">
        <color rgb="FFE2E8F0"/>
      </right>
      <top style="medium">
        <color rgb="FF3B82F6"/>
      </top>
      <bottom style="thin">
        <color rgb="FFE2E8F0"/>
      </bottom>
    </border>
  </borders>
  <cellStyleXfs count="1">
    <xf numFmtId="0" fontId="0" fillId="0" borderId="0"/>
  </cellStyleXfs>
  <cellXfs count="28">
    <!-- 0: Standard normal -->
    <xf numFmtId="0" fontId="0" fillId="0" borderId="1" xfId="0" applyFont="1" applyBorder="1"/>
    <!-- 1: Modern Table Header (Dark Navy #0F172A, White Bold) -->
    <xf numFmtId="0" fontId="1" fillId="2" borderId="1" xfId="0" applyFont="1" applyFill="1" applyBorder="1" applyAlignment="1">
      <alignment horizontal="center" vertical="center" wrapText="1"/>
    </xf>
    <!-- 2: Date format (YYYY-MM-DD) -->
    <xf numFmtId="164" fontId="0" fillId="0" borderId="1" xfId="0" applyNumberFormat="1" applyBorder="1" applyAlignment="1">
      <alignment horizontal="center" vertical="center"/>
    </xf>
    <!-- 3: Percentage format (0.0%) -->
    <xf numFmtId="165" fontId="0" fillId="0" borderId="1" xfId="0" applyNumberFormat="1" applyBorder="1" applyAlignment="1">
      <alignment horizontal="right" vertical="center"/>
    </xf>
    <!-- 4: Currency (₹#,##0.00) -->
    <xf numFmtId="166" fontId="0" fillId="0" borderId="1" xfId="0" applyNumberFormat="1" applyBorder="1" applyAlignment="1">
      <alignment horizontal="right" vertical="center"/>
    </xf>
    <!-- 5: Center normal -->
    <xf numFmtId="0" fontId="0" fillId="0" borderId="1" xfId="0" applyBorder="1" applyAlignment="1">
      <alignment horizontal="center" vertical="center"/>
    </xf>
    <!-- 6: Decimal 2 places (0.00) -->
    <xf numFmtId="167" fontId="0" fillId="0" borderId="1" xfId="0" applyNumberFormat="1" applyBorder="1" applyAlignment="1">
      <alignment horizontal="right" vertical="center"/>
    </xf>
    <!-- 7: Bold Normal -->
    <xf numFmtId="0" fontId="2" fillId="0" borderId="1" xfId="0" applyFont="1" applyBorder="1"/>
    <!-- 8: Subheader Fill Slate -->
    <xf numFmtId="0" fontId="1" fillId="3" borderId="1" xfId="0" applyFont="1" applyFill="1" applyBorder="1"/>
    <!-- 9: Center Bold -->
    <xf numFmtId="0" fontId="2" fillId="0" borderId="1" xfId="0" applyFont="1" applyBorder="1" applyAlignment="1">
      <alignment horizontal="center" vertical="center"/>
    </xf>
    <!-- 10: Dashboard Title (16pt Navy) -->
    <xf numFmtId="0" fontId="6" fillId="0" borderId="0" xfId="0" applyFont="1" applyAlignment="1">
      <alignment horizontal="left" vertical="center"/>
    </xf>
    <!-- 11: Dashboard Subtitle -->
    <xf numFmtId="0" fontId="7" fillId="0" borderId="0" xfId="0" applyFont="1" applyAlignment="1">
      <alignment horizontal="left" vertical="center"/>
    </xf>
    <!-- 12: Widget Card Header (Small Caps Slate) -->
    <xf numFmtId="0" fontId="8" fillId="4" borderId="3" xfId="0" applyFont="1" applyFill="1" applyBorder="1" applyAlignment="1">
      <alignment horizontal="center" vertical="center"/>
    </xf>
    <!-- 13: Widget Card Metric (18pt Bold Navy) -->
    <xf numFmtId="0" fontId="9" fillId="4" borderId="1" xfId="0" applyFont="1" applyFill="1" applyBorder="1" applyAlignment="1">
      <alignment horizontal="center" vertical="center"/>
    </xf>
    <!-- 14: Widget Card Metric Currency -->
    <xf numFmtId="166" fontId="9" fillId="4" borderId="1" xfId="0" applyNumberFormat="1" applyFont="1" applyFill="1" applyBorder="1" applyAlignment="1">
      <alignment horizontal="center" vertical="center"/>
    </xf>
    <!-- 15: Widget Card Metric Percentage -->
    <xf numFmtId="165" fontId="9" fillId="4" borderId="1" xfId="0" applyNumberFormat="1" applyFont="1" applyFill="1" applyBorder="1" applyAlignment="1">
      <alignment horizontal="center" vertical="center"/>
    </xf>
    <!-- 16: Widget Card Subtext -->
    <xf numFmtId="0" fontId="10" fillId="4" borderId="1" xfId="0" applyFont="1" applyFill="1" applyBorder="1" applyAlignment="1">
      <alignment horizontal="center" vertical="center"/>
    </xf>
    <!-- 17: Dashboard Section Header (12pt Navy bold with slate fill) -->
    <xf numFmtId="0" fontId="11" fillId="9" borderId="2" xfId="0" applyFont="1" applyFill="1" applyBorder="1" applyAlignment="1">
      <alignment horizontal="left" vertical="center"/>
    </xf>
    <!-- 18: Card Metric R multiple (18pt) -->
    <xf numFmtId="168" fontId="9" fillId="4" borderId="1" xfId="0" applyNumberFormat="1" applyFont="1" applyFill="1" applyBorder="1" applyAlignment="1">
      <alignment horizontal="center" vertical="center"/>
    </xf>
    <!-- 19: R multiple format 2 decimal (0.00 R) normal text -->
    <xf numFmtId="168" fontId="0" fillId="0" borderId="1" xfId="0" applyNumberFormat="1" applyBorder="1" applyAlignment="1">
      <alignment horizontal="right" vertical="center"/>
    </xf>
    <!-- 20: Table Alt Row (Zebra) -->
    <xf numFmtId="0" fontId="0" fillId="4" borderId="1" xfId="0" applyFill="1" applyBorder="1"/>
    <!-- 21: Table Alt Row Date -->
    <xf numFmtId="164" fontId="0" fillId="4" borderId="1" xfId="0" applyNumberFormat="1" applyFill="1" applyBorder="1" applyAlignment="1">
      <alignment horizontal="center" vertical="center"/>
    </xf>
    <!-- 22: Table Alt Row Currency -->
    <xf numFmtId="166" fontId="0" fillId="4" borderId="1" xfId="0" applyNumberFormat="1" applyFill="1" applyBorder="1" applyAlignment="1">
      <alignment horizontal="right" vertical="center"/>
    </xf>
    <!-- 23: Table Alt Row Center -->
    <xf numFmtId="0" fontId="0" fillId="4" borderId="1" xfId="0" applyFill="1" applyBorder="1" applyAlignment="1">
      <alignment horizontal="center" vertical="center"/>
    </xf>
    <!-- 24: FAST ENTRY Action Blue Header (#2563EB) -->
    <xf numFmtId="0" fontId="12" fillId="8" borderId="2" xfId="0" applyFont="1" applyFill="1" applyBorder="1" applyAlignment="1">
      <alignment horizontal="center" vertical="center" wrapText="1"/>
    </xf>
    <!-- 25: AUTO-CALC Header Muted (#E2E8F0) -->
    <xf numFmtId="0" fontId="13" fillId="10" borderId="1" xfId="0" applyFont="1" applyFill="1" applyBorder="1" applyAlignment="1">
      <alignment horizontal="center" vertical="center" wrapText="1"/>
    </xf>
    <!-- 26: Fast Entry Input Cell Highlight (#EFF6FF) -->
    <xf numFmtId="0" fontId="2" fillId="11" borderId="1" xfId="0" applyFont="1" applyFill="1" applyBorder="1" applyAlignment="1">
      <alignment horizontal="center" vertical="center"/>
    </xf>
    <!-- 27: Fast Entry Input Price Cell Highlight (#EFF6FF) -->
    <xf numFmtId="166" fontId="2" fillId="11" borderId="1" xfId="0" applyNumberFormat="1" applyFont="1" applyFill="1" applyBorder="1" applyAlignment="1">
      <alignment horizontal="right" vertical="center"/>
    </xf>
  </cellXfs>
  <dxfs count="4">
    <dxf>
      <font>
        <color rgb="FF991B1B"/>
        <b/>
      </font>
      <fill>
        <patternFill>
          <bgColor rgb="FFFEE2E2"/>
        </patternFill>
      </fill>
    </dxf>
    <dxf>
      <font>
        <color rgb="FF065F46"/>
        <b/>
      </font>
      <fill>
        <patternFill>
          <bgColor rgb="FFD1FAE5"/>
        </patternFill>
      </fill>
    </dxf>
    <dxf>
      <font>
        <color rgb="FF92400E"/>
        <b/>
      </font>
      <fill>
        <patternFill>
          <bgColor rgb="FFFEF3C7"/>
        </patternFill>
      </fill>
    </dxf>
    <dxf>
      <fill>
        <patternFill>
          <bgColor rgb="FFF8FAFC"/>
        </patternFill>
      </fill>
    </dxf>
  </d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worksheet" Target="worksheets/sheet6.xml"/>
  <Relationship Id="rId7" Type="http://schemas.openxmlformats.org/officeDocument/2006/relationships/styles" Target="styles.xml"/>
  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b="1" sz="1100">
                <a:solidFill>
                  <a:srgbClr val="0F172A"/>
                </a:solidFill>
              </a:defRPr>
            </a:pPr>
            <a:r>
              <a:t>Win / Loss Distribution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v>Outcomes</c:v>
          </c:tx>
          <c:cat>
            <c:strLit>
              <c:ptCount val="2"/>
              <c:pt idx="0">
                <c:v>Wins (50.0%)</c:v>
              </c:pt>
              <c:pt idx="1">
                <c:v>Losses (50.0%)</c:v>
              </c:pt>
            </c:strLit>
          </c:cat>
          <c:val>
            <c:numLit>
              <c:ptCount val="2"/>
              <c:pt idx="0">
                <c:v>1</c:v>
              </c:pt>
              <c:pt idx="1">
                <c:v>1</c:v>
              </c:pt>
            </c:numLit>
          </c:val>
        </c:ser>
      </c:pieChart>
    </c:plotArea>
    <c:legend>
      <c:legendPos val="b"/>
      <c:overlay val="0"/>
    </c:legend>
  </c:chart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8</xdr:col>
      <xdr:colOff>50000</xdr:colOff>
      <xdr:row>12</xdr:row>
      <xdr:rowOff>50000</xdr:rowOff>
    </xdr:from>
    <xdr:to>
      <xdr:col>12</xdr:col>
      <xdr:colOff>50000</xdr:colOff>
      <xdr:row>19</xdr:row>
      <xdr:rowOff>150000</xdr:rowOff>
    </xdr:to>
    <xdr:graphicFrame macro="">
      <xdr:nvGraphicFramePr>
        <xdr:cNvPr id="2" name="PieChart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 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P22"/>
  <sheetViews>
    <sheetView tabSelected="1" workbookViewId="0"/>
  </sheetViews>
  <sheetFormatPr defaultRowHeight="20"/>
  <cols>
    <col min="1" max="1" width="4" customWidth="1"/>
    <col min="2" max="2" width="22" customWidth="1"/>
    <col min="3" max="3" width="16" customWidth="1"/>
    <col min="4" max="4" width="16" customWidth="1"/>
    <col min="5" max="5" width="4" customWidth="1"/>
    <col min="6" max="6" width="22" customWidth="1"/>
    <col min="7" max="7" width="18" customWidth="1"/>
    <col min="8" max="8" width="18" customWidth="1"/>
    <col min="9" max="9" width="4" customWidth="1"/>
    <col min="10" max="10" width="22" customWidth="1"/>
    <col min="11" max="11" width="18" customWidth="1"/>
    <col min="12" max="12" width="18" customWidth="1"/>
  </cols>
  <sheetData>
    <row r="1" ht="34" customHeight="1">
      <c r="B1" s="10" t="s">
        <v>0</v>
      </c>
    </row>
    <row r="2" ht="18" customHeight="1">
      <c r="B2" s="11" t="s">
        <v>1</v>
      </c>
    </row>
    <row r="4" ht="18" customHeight="1">
      <c r="B4" s="12" t="s">
        <v>2</v>
      </c>
      <c r="C4" s="12"/>
      <c r="D4" s="12"/>
      <c r="F4" s="12" t="s">
        <v>3</v>
      </c>
      <c r="G4" s="12"/>
      <c r="H4" s="12"/>
      <c r="J4" s="12" t="s">
        <v>4</v>
      </c>
      <c r="K4" s="12"/>
      <c r="L4" s="12"/>
    </row>
    <row r="5" ht="30" customHeight="1">
      <c r="B5" s="13" t="s">
        <v>218</v>
      </c>
      <c r="C5" s="13"/>
      <c r="D5" s="13"/>
      <c r="F5" s="14">
        <f>SUM(Trade_Log!U2:U100)</f>
        <v>9232.16</v>
      </c>
      <c r="G5" s="14"/>
      <c r="H5" s="14"/>
      <c r="J5" s="15">
        <f>IF(COUNTA(Trade_Log!B2:B100)=0,0,COUNTIF(Trade_Log!X2:X100,5)/COUNTA(Trade_Log!B2:B100))</f>
        <v>1.0</v>
      </c>
      <c r="K5" s="15"/>
      <c r="L5" s="15"/>
    </row>
    <row r="6" ht="18" customHeight="1">
      <c r="B6" s="16" t="s">
        <v>6</v>
      </c>
      <c r="C6" s="16"/>
      <c r="D6" s="16"/>
      <c r="F6" s="16" t="s">
        <v>7</v>
      </c>
      <c r="G6" s="16"/>
      <c r="H6" s="16"/>
      <c r="J6" s="16" t="s">
        <v>8</v>
      </c>
      <c r="K6" s="16"/>
      <c r="L6" s="16"/>
    </row>
    <row r="8" ht="18" customHeight="1">
      <c r="B8" s="12" t="s">
        <v>9</v>
      </c>
      <c r="C8" s="12"/>
      <c r="D8" s="12"/>
      <c r="F8" s="12" t="s">
        <v>10</v>
      </c>
      <c r="G8" s="12"/>
      <c r="H8" s="12"/>
      <c r="J8" s="12" t="s">
        <v>11</v>
      </c>
      <c r="K8" s="12"/>
      <c r="L8" s="12"/>
    </row>
    <row r="9" ht="30" customHeight="1">
      <c r="B9" s="18">
        <f>IFERROR(AVERAGE(Trade_Log!V2:V100),0)</f>
        <v>0.91</v>
      </c>
      <c r="C9" s="18"/>
      <c r="D9" s="18"/>
      <c r="F9" s="15">
        <f>IF(COUNTA(Trade_Log!B2:B100)=0,0,COUNTIF(Trade_Log!W2:W100,"Win")/COUNTA(Trade_Log!B2:B100))</f>
        <v>0.5</v>
      </c>
      <c r="G9" s="15"/>
      <c r="H9" s="15"/>
      <c r="J9" s="13">
        <f>COUNTIF(Trade_Log!Y2:Y100,"Y") + COUNTIF(Trade_Log!Z2:Z100,"Revenge")</f>
        <v>0</v>
      </c>
      <c r="K9" s="13"/>
      <c r="L9" s="13"/>
    </row>
    <row r="10" ht="18" customHeight="1">
      <c r="B10" s="16" t="s">
        <v>12</v>
      </c>
      <c r="C10" s="16"/>
      <c r="D10" s="16"/>
      <c r="F10" s="16" t="s">
        <v>13</v>
      </c>
      <c r="G10" s="16"/>
      <c r="H10" s="16"/>
      <c r="J10" s="16" t="s">
        <v>14</v>
      </c>
      <c r="K10" s="16"/>
      <c r="L10" s="16"/>
    </row>
    <row r="12" ht="24" customHeight="1">
      <c r="B12" s="17" t="s">
        <v>15</v>
      </c>
      <c r="C12" s="17"/>
      <c r="D12" s="17"/>
      <c r="F12" s="17" t="s">
        <v>16</v>
      </c>
      <c r="G12" s="17"/>
      <c r="H12" s="17"/>
      <c r="J12" s="17"/>
      <c r="K12" s="17"/>
      <c r="L12" s="17"/>
    </row>
    <row r="13" ht="20" customHeight="1">
      <c r="B13" s="7" t="s">
        <v>17</v>
      </c>
      <c r="C13" s="9" t="s">
        <v>18</v>
      </c>
      <c r="D13" s="0" t="s">
        <v>19</v>
      </c>
      <c r="F13" s="7" t="s">
        <v>20</v>
      </c>
      <c r="G13" s="5">
        <v>1</v>
      </c>
      <c r="H13" s="3" t="s">
        <v>219</v>
      </c>
    </row>
    <row r="14" ht="20" customHeight="1">
      <c r="B14" s="7" t="s">
        <v>22</v>
      </c>
      <c r="C14" s="9" t="s">
        <v>23</v>
      </c>
      <c r="D14" s="0" t="s">
        <v>24</v>
      </c>
      <c r="F14" s="7" t="s">
        <v>25</v>
      </c>
      <c r="G14" s="5">
        <v>1</v>
      </c>
      <c r="H14" s="3" t="s">
        <v>219</v>
      </c>
    </row>
    <row r="15" ht="20" customHeight="1">
      <c r="B15" s="7" t="s">
        <v>27</v>
      </c>
      <c r="C15" s="9" t="s">
        <v>28</v>
      </c>
      <c r="D15" s="0" t="s">
        <v>29</v>
      </c>
      <c r="F15" s="7" t="s">
        <v>35</v>
      </c>
      <c r="G15" s="5">
        <v>2</v>
      </c>
      <c r="H15" s="3" t="s">
        <v>36</v>
      </c>
    </row>
    <row r="16" ht="20" customHeight="1">
      <c r="B16" s="7" t="s">
        <v>32</v>
      </c>
      <c r="C16" s="9" t="s">
        <v>33</v>
      </c>
      <c r="D16" s="0" t="s">
        <v>34</v>
      </c>
      <c r="F16" s="7" t="s">
        <v>220</v>
      </c>
      <c r="G16" s="4">
        <v>687.24</v>
      </c>
      <c r="H16" s="3" t="s">
        <v>221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50"/>
  <sheetViews>
    <sheetView tabSelected="1" workbookViewId="0">
      <pane ySplit="1" topLeftCell="A2" activePane="bottomLeft" state="frozen"/>
    </sheetView>
  </sheetViews>
  <sheetFormatPr defaultRowHeight="20"/>
  <cols>
    <col min="1" max="1" width="16" customWidth="1"/>
    <col min="2" max="2" width="13" customWidth="1"/>
    <col min="3" max="3" width="11" customWidth="1"/>
    <col min="4" max="4" width="12" customWidth="1"/>
    <col min="5" max="5" width="11" customWidth="1"/>
    <col min="6" max="6" width="13" customWidth="1"/>
    <col min="7" max="7" width="13" customWidth="1"/>
    <col min="8" max="8" width="13" customWidth="1"/>
    <col min="9" max="9" width="13" customWidth="1"/>
    <col min="10" max="10" width="10" customWidth="1"/>
    <col min="11" max="11" width="13" customWidth="1"/>
    <col min="12" max="12" width="14" customWidth="1"/>
    <col min="13" max="13" width="14" customWidth="1"/>
    <col min="14" max="14" width="12" customWidth="1"/>
    <col min="15" max="15" width="11" customWidth="1"/>
    <col min="16" max="16" width="14" customWidth="1"/>
  </cols>
  <sheetData>
    <row r="1" ht="30" customHeight="1">
      <c r="A1" s="17" t="s">
        <v>222</v>
      </c>
    </row>
    <row r="2" ht="28" customHeight="1">
      <c r="A2" s="1" t="s">
        <v>61</v>
      </c>
      <c r="B2" s="24" t="s">
        <v>48</v>
      </c>
      <c r="C2" s="24" t="s">
        <v>62</v>
      </c>
      <c r="D2" s="24" t="s">
        <v>63</v>
      </c>
      <c r="E2" s="24" t="s">
        <v>64</v>
      </c>
      <c r="F2" s="24" t="s">
        <v>65</v>
      </c>
      <c r="G2" s="24" t="s">
        <v>66</v>
      </c>
      <c r="H2" s="24" t="s">
        <v>67</v>
      </c>
      <c r="I2" s="24" t="s">
        <v>68</v>
      </c>
      <c r="J2" s="24" t="s">
        <v>69</v>
      </c>
      <c r="K2" s="25" t="s">
        <v>70</v>
      </c>
      <c r="L2" s="25" t="s">
        <v>71</v>
      </c>
      <c r="M2" s="25" t="s">
        <v>72</v>
      </c>
      <c r="N2" s="25" t="s">
        <v>73</v>
      </c>
      <c r="O2" s="25" t="s">
        <v>74</v>
      </c>
      <c r="P2" s="25" t="s">
        <v>75</v>
      </c>
    </row>
    <row r="3" ht="20">
      <c r="A3" s="5" t="s">
        <v>223</v>
      </c>
      <c r="B3" s="26" t="s">
        <v>198</v>
      </c>
      <c r="C3" s="26" t="s">
        <v>224</v>
      </c>
      <c r="D3" s="26" t="s">
        <v>225</v>
      </c>
      <c r="E3" s="26" t="s">
        <v>80</v>
      </c>
      <c r="F3" s="27">
        <v>1224.9</v>
      </c>
      <c r="G3" s="27">
        <v>1217.7</v>
      </c>
      <c r="H3" s="27">
        <v>1240.74</v>
      </c>
      <c r="I3" s="27">
        <v>1243.75</v>
      </c>
      <c r="J3" s="26">
        <v>694</v>
      </c>
      <c r="K3" s="6">
        <v>2.2</v>
      </c>
      <c r="L3" s="4">
        <v>348.74</v>
      </c>
      <c r="M3" s="4">
        <v>12733.16</v>
      </c>
      <c r="N3" s="19">
        <v>2.55</v>
      </c>
      <c r="O3" s="5" t="s">
        <v>226</v>
      </c>
      <c r="P3" s="5" t="s">
        <v>227</v>
      </c>
    </row>
    <row r="4" ht="20">
      <c r="A4" s="5" t="s">
        <v>228</v>
      </c>
      <c r="B4" s="26" t="s">
        <v>198</v>
      </c>
      <c r="C4" s="26" t="s">
        <v>229</v>
      </c>
      <c r="D4" s="26" t="s">
        <v>230</v>
      </c>
      <c r="E4" s="26" t="s">
        <v>80</v>
      </c>
      <c r="F4" s="27">
        <v>659.35</v>
      </c>
      <c r="G4" s="27">
        <v>655.5</v>
      </c>
      <c r="H4" s="27">
        <v>667.82</v>
      </c>
      <c r="I4" s="27">
        <v>656.85</v>
      </c>
      <c r="J4" s="26">
        <v>1265</v>
      </c>
      <c r="K4" s="6">
        <v>2.2</v>
      </c>
      <c r="L4" s="4">
        <v>338.5</v>
      </c>
      <c r="M4" s="4">
        <v>-3501</v>
      </c>
      <c r="N4" s="19">
        <v>-0.72</v>
      </c>
      <c r="O4" s="5" t="s">
        <v>231</v>
      </c>
      <c r="P4" s="5" t="s">
        <v>227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AF50"/>
  <sheetViews>
    <sheetView tabSelected="1" workbookViewId="0">
      <pane ySplit="1" topLeftCell="A2" activePane="bottomLeft" state="frozen"/>
    </sheetView>
  </sheetViews>
  <sheetFormatPr defaultRowHeight="20"/>
  <cols>
    <col min="1" max="1" width="18" customWidth="1"/>
    <col min="2" max="2" width="13" customWidth="1"/>
    <col min="3" max="3" width="8" customWidth="1"/>
    <col min="4" max="4" width="12" customWidth="1"/>
    <col min="5" max="5" width="12" customWidth="1"/>
    <col min="6" max="6" width="11" customWidth="1"/>
    <col min="7" max="7" width="24" customWidth="1"/>
    <col min="8" max="8" width="18" customWidth="1"/>
    <col min="9" max="9" width="17" customWidth="1"/>
    <col min="10" max="10" width="22" customWidth="1"/>
    <col min="11" max="11" width="24" customWidth="1"/>
    <col min="12" max="12" width="13" customWidth="1"/>
    <col min="13" max="13" width="13" customWidth="1"/>
    <col min="14" max="14" width="14" customWidth="1"/>
    <col min="15" max="15" width="13" customWidth="1"/>
    <col min="16" max="16" width="13" customWidth="1"/>
    <col min="17" max="17" width="13" customWidth="1"/>
    <col min="18" max="18" width="10" customWidth="1"/>
    <col min="19" max="19" width="13" customWidth="1"/>
    <col min="20" max="20" width="12" customWidth="1"/>
    <col min="21" max="21" width="13" customWidth="1"/>
    <col min="22" max="22" width="12" customWidth="1"/>
    <col min="23" max="23" width="11" customWidth="1"/>
    <col min="24" max="24" width="21" customWidth="1"/>
    <col min="25" max="25" width="15" customWidth="1"/>
    <col min="26" max="26" width="22" customWidth="1"/>
    <col min="27" max="27" width="21" customWidth="1"/>
    <col min="28" max="28" width="21" customWidth="1"/>
    <col min="29" max="29" width="20" customWidth="1"/>
    <col min="30" max="30" width="13" customWidth="1"/>
    <col min="31" max="31" width="40" customWidth="1"/>
    <col min="32" max="32" width="30" customWidth="1"/>
  </cols>
  <sheetData>
    <row r="1" ht="28" customHeight="1">
      <c r="A1" s="1" t="s">
        <v>61</v>
      </c>
      <c r="B1" s="24" t="s">
        <v>48</v>
      </c>
      <c r="C1" s="25" t="s">
        <v>134</v>
      </c>
      <c r="D1" s="24" t="s">
        <v>135</v>
      </c>
      <c r="E1" s="24" t="s">
        <v>63</v>
      </c>
      <c r="F1" s="24" t="s">
        <v>64</v>
      </c>
      <c r="G1" s="1" t="s">
        <v>136</v>
      </c>
      <c r="H1" s="1" t="s">
        <v>137</v>
      </c>
      <c r="I1" s="1" t="s">
        <v>138</v>
      </c>
      <c r="J1" s="1" t="s">
        <v>139</v>
      </c>
      <c r="K1" s="1" t="s">
        <v>140</v>
      </c>
      <c r="L1" s="25" t="s">
        <v>141</v>
      </c>
      <c r="M1" s="25" t="s">
        <v>142</v>
      </c>
      <c r="N1" s="25" t="s">
        <v>143</v>
      </c>
      <c r="O1" s="24" t="s">
        <v>65</v>
      </c>
      <c r="P1" s="24" t="s">
        <v>66</v>
      </c>
      <c r="Q1" s="24" t="s">
        <v>68</v>
      </c>
      <c r="R1" s="24" t="s">
        <v>69</v>
      </c>
      <c r="S1" s="25" t="s">
        <v>144</v>
      </c>
      <c r="T1" s="25" t="s">
        <v>145</v>
      </c>
      <c r="U1" s="25" t="s">
        <v>72</v>
      </c>
      <c r="V1" s="25" t="s">
        <v>146</v>
      </c>
      <c r="W1" s="25" t="s">
        <v>74</v>
      </c>
      <c r="X1" s="1" t="s">
        <v>147</v>
      </c>
      <c r="Y1" s="1" t="s">
        <v>148</v>
      </c>
      <c r="Z1" s="1" t="s">
        <v>149</v>
      </c>
      <c r="AA1" s="1" t="s">
        <v>150</v>
      </c>
      <c r="AB1" s="1" t="s">
        <v>151</v>
      </c>
      <c r="AC1" s="1" t="s">
        <v>152</v>
      </c>
      <c r="AD1" s="25" t="s">
        <v>153</v>
      </c>
      <c r="AE1" s="1" t="s">
        <v>154</v>
      </c>
      <c r="AF1" s="1" t="s">
        <v>155</v>
      </c>
    </row>
    <row r="2" ht="20">
      <c r="A2" s="5" t="s">
        <v>223</v>
      </c>
      <c r="B2" s="2" t="s">
        <v>198</v>
      </c>
      <c r="C2" s="5" t="s">
        <v>232</v>
      </c>
      <c r="D2" s="5" t="s">
        <v>224</v>
      </c>
      <c r="E2" s="5" t="s">
        <v>225</v>
      </c>
      <c r="F2" s="5" t="s">
        <v>80</v>
      </c>
      <c r="G2" s="0" t="s">
        <v>156</v>
      </c>
      <c r="H2" s="5" t="s">
        <v>233</v>
      </c>
      <c r="I2" s="5" t="s">
        <v>158</v>
      </c>
      <c r="J2" s="5" t="s">
        <v>158</v>
      </c>
      <c r="K2" s="5" t="s">
        <v>158</v>
      </c>
      <c r="L2" s="6">
        <v>2.2</v>
      </c>
      <c r="M2" s="3">
        <v>0.0025</v>
      </c>
      <c r="N2" s="4">
        <v>4996.800000000032</v>
      </c>
      <c r="O2" s="4">
        <v>1224.9</v>
      </c>
      <c r="P2" s="4">
        <v>1217.7</v>
      </c>
      <c r="Q2" s="4">
        <v>1243.75</v>
      </c>
      <c r="R2" s="0">
        <v>694</v>
      </c>
      <c r="S2" s="4">
        <v>13081.9</v>
      </c>
      <c r="T2" s="4">
        <v>348.74</v>
      </c>
      <c r="U2" s="4">
        <v>12733.16</v>
      </c>
      <c r="V2" s="6">
        <v>2.55</v>
      </c>
      <c r="W2" s="5" t="s">
        <v>226</v>
      </c>
      <c r="X2" s="5">
        <v>5</v>
      </c>
      <c r="Y2" s="5" t="s">
        <v>159</v>
      </c>
      <c r="Z2" s="5" t="s">
        <v>160</v>
      </c>
      <c r="AA2" s="5">
        <v>2</v>
      </c>
      <c r="AB2" s="5">
        <v>2</v>
      </c>
      <c r="AC2" s="5">
        <v>2</v>
      </c>
      <c r="AD2" s="5" t="s">
        <v>158</v>
      </c>
      <c r="AE2" s="0" t="s">
        <v>234</v>
      </c>
      <c r="AF2" s="0" t="s">
        <v>235</v>
      </c>
    </row>
    <row r="3" ht="20">
      <c r="A3" s="5" t="s">
        <v>228</v>
      </c>
      <c r="B3" s="2" t="s">
        <v>198</v>
      </c>
      <c r="C3" s="5" t="s">
        <v>232</v>
      </c>
      <c r="D3" s="5" t="s">
        <v>229</v>
      </c>
      <c r="E3" s="5" t="s">
        <v>230</v>
      </c>
      <c r="F3" s="5" t="s">
        <v>80</v>
      </c>
      <c r="G3" s="0" t="s">
        <v>156</v>
      </c>
      <c r="H3" s="5" t="s">
        <v>233</v>
      </c>
      <c r="I3" s="5" t="s">
        <v>158</v>
      </c>
      <c r="J3" s="5" t="s">
        <v>158</v>
      </c>
      <c r="K3" s="5" t="s">
        <v>158</v>
      </c>
      <c r="L3" s="6">
        <v>2.2</v>
      </c>
      <c r="M3" s="3">
        <v>0.0025</v>
      </c>
      <c r="N3" s="4">
        <v>4870.250000000029</v>
      </c>
      <c r="O3" s="4">
        <v>659.35</v>
      </c>
      <c r="P3" s="4">
        <v>655.5</v>
      </c>
      <c r="Q3" s="4">
        <v>656.85</v>
      </c>
      <c r="R3" s="0">
        <v>1265</v>
      </c>
      <c r="S3" s="4">
        <v>-3162.5</v>
      </c>
      <c r="T3" s="4">
        <v>338.5</v>
      </c>
      <c r="U3" s="4">
        <v>-3501</v>
      </c>
      <c r="V3" s="6">
        <v>-0.72</v>
      </c>
      <c r="W3" s="5" t="s">
        <v>231</v>
      </c>
      <c r="X3" s="5">
        <v>5</v>
      </c>
      <c r="Y3" s="5" t="s">
        <v>159</v>
      </c>
      <c r="Z3" s="5" t="s">
        <v>160</v>
      </c>
      <c r="AA3" s="5">
        <v>2</v>
      </c>
      <c r="AB3" s="5">
        <v>2</v>
      </c>
      <c r="AC3" s="5">
        <v>2</v>
      </c>
      <c r="AD3" s="5" t="s">
        <v>158</v>
      </c>
      <c r="AE3" s="0" t="s">
        <v>236</v>
      </c>
      <c r="AF3" s="0" t="s">
        <v>237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dimension ref="A1:N35"/>
  <sheetViews>
    <sheetView tabSelected="1" workbookViewId="0">
      <pane ySplit="1" topLeftCell="A2" activePane="bottomLeft" state="frozen"/>
    </sheetView>
  </sheetViews>
  <sheetFormatPr defaultRowHeight="20"/>
  <cols>
    <col min="1" max="1" width="13" customWidth="1"/>
    <col min="2" max="2" width="14" customWidth="1"/>
    <col min="3" max="3" width="19" customWidth="1"/>
    <col min="4" max="4" width="10" customWidth="1"/>
    <col min="5" max="5" width="19" customWidth="1"/>
    <col min="6" max="6" width="15" customWidth="1"/>
    <col min="7" max="7" width="11" customWidth="1"/>
    <col min="8" max="8" width="22" customWidth="1"/>
    <col min="9" max="9" width="16" customWidth="1"/>
    <col min="10" max="10" width="22" customWidth="1"/>
    <col min="11" max="11" width="15" customWidth="1"/>
    <col min="12" max="12" width="20" customWidth="1"/>
    <col min="13" max="13" width="23" customWidth="1"/>
    <col min="14" max="14" width="45" customWidth="1"/>
  </cols>
  <sheetData>
    <row r="1" ht="28" customHeight="1">
      <c r="A1" s="1" t="s">
        <v>48</v>
      </c>
      <c r="B1" s="1" t="s">
        <v>171</v>
      </c>
      <c r="C1" s="1" t="s">
        <v>172</v>
      </c>
      <c r="D1" s="1" t="s">
        <v>25</v>
      </c>
      <c r="E1" s="1" t="s">
        <v>173</v>
      </c>
      <c r="F1" s="1" t="s">
        <v>174</v>
      </c>
      <c r="G1" s="1" t="s">
        <v>175</v>
      </c>
      <c r="H1" s="1" t="s">
        <v>176</v>
      </c>
      <c r="I1" s="1" t="s">
        <v>177</v>
      </c>
      <c r="J1" s="1" t="s">
        <v>178</v>
      </c>
      <c r="K1" s="1" t="s">
        <v>179</v>
      </c>
      <c r="L1" s="1" t="s">
        <v>180</v>
      </c>
      <c r="M1" s="1" t="s">
        <v>181</v>
      </c>
      <c r="N1" s="1" t="s">
        <v>182</v>
      </c>
    </row>
    <row r="2" ht="20">
      <c r="A2" s="2" t="s">
        <v>198</v>
      </c>
      <c r="B2" s="5">
        <v>2</v>
      </c>
      <c r="C2" s="5">
        <v>2</v>
      </c>
      <c r="D2" s="5">
        <v>1</v>
      </c>
      <c r="E2" s="5">
        <v>2</v>
      </c>
      <c r="F2" s="4">
        <v>9232.16</v>
      </c>
      <c r="G2" s="6">
        <v>1.83</v>
      </c>
      <c r="H2" s="5">
        <v>2</v>
      </c>
      <c r="I2" s="5">
        <v>0</v>
      </c>
      <c r="J2" s="5">
        <v>5</v>
      </c>
      <c r="K2" s="3">
        <v>1.0</v>
      </c>
      <c r="L2" s="5" t="s">
        <v>159</v>
      </c>
      <c r="M2" s="5" t="s">
        <v>159</v>
      </c>
      <c r="N2" s="0" t="s">
        <v>238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dimension ref="A1:P10"/>
  <sheetViews>
    <sheetView tabSelected="1" workbookViewId="0">
      <pane ySplit="1" topLeftCell="A2" activePane="bottomLeft" state="frozen"/>
    </sheetView>
  </sheetViews>
  <sheetFormatPr defaultRowHeight="20"/>
  <cols>
    <col min="1" max="1" width="13" customWidth="1"/>
    <col min="2" max="2" width="13" customWidth="1"/>
    <col min="3" max="3" width="10" customWidth="1"/>
    <col min="4" max="4" width="10" customWidth="1"/>
    <col min="5" max="5" width="10" customWidth="1"/>
    <col min="6" max="6" width="12" customWidth="1"/>
    <col min="7" max="7" width="14" customWidth="1"/>
    <col min="8" max="8" width="10" customWidth="1"/>
    <col min="9" max="9" width="14" customWidth="1"/>
    <col min="10" max="10" width="23" customWidth="1"/>
    <col min="11" max="11" width="12" customWidth="1"/>
    <col min="12" max="12" width="16" customWidth="1"/>
    <col min="13" max="13" width="18" customWidth="1"/>
    <col min="14" max="14" width="18" customWidth="1"/>
    <col min="15" max="15" width="35" customWidth="1"/>
    <col min="16" max="16" width="35" customWidth="1"/>
  </cols>
  <sheetData>
    <row r="1" ht="28" customHeight="1">
      <c r="A1" s="1" t="s">
        <v>185</v>
      </c>
      <c r="B1" s="1" t="s">
        <v>186</v>
      </c>
      <c r="C1" s="1" t="s">
        <v>49</v>
      </c>
      <c r="D1" s="1" t="s">
        <v>20</v>
      </c>
      <c r="E1" s="1" t="s">
        <v>25</v>
      </c>
      <c r="F1" s="1" t="s">
        <v>187</v>
      </c>
      <c r="G1" s="1" t="s">
        <v>72</v>
      </c>
      <c r="H1" s="1" t="s">
        <v>188</v>
      </c>
      <c r="I1" s="1" t="s">
        <v>189</v>
      </c>
      <c r="J1" s="1" t="s">
        <v>190</v>
      </c>
      <c r="K1" s="1" t="s">
        <v>191</v>
      </c>
      <c r="L1" s="1" t="s">
        <v>192</v>
      </c>
      <c r="M1" s="1" t="s">
        <v>193</v>
      </c>
      <c r="N1" s="1" t="s">
        <v>194</v>
      </c>
      <c r="O1" s="1" t="s">
        <v>195</v>
      </c>
      <c r="P1" s="1" t="s">
        <v>196</v>
      </c>
    </row>
    <row r="2" ht="20">
      <c r="A2" s="2" t="s">
        <v>197</v>
      </c>
      <c r="B2" s="2" t="s">
        <v>198</v>
      </c>
      <c r="C2" s="5">
        <v>2</v>
      </c>
      <c r="D2" s="5">
        <v>1</v>
      </c>
      <c r="E2" s="5">
        <v>1</v>
      </c>
      <c r="F2" s="3">
        <v>0.5</v>
      </c>
      <c r="G2" s="4">
        <v>9232.16</v>
      </c>
      <c r="H2" s="6">
        <v>0.91</v>
      </c>
      <c r="I2" s="6">
        <v>0.91</v>
      </c>
      <c r="J2" s="3">
        <v>1.0</v>
      </c>
      <c r="K2" s="5">
        <v>0</v>
      </c>
      <c r="L2" s="5">
        <v>0</v>
      </c>
      <c r="M2" s="5" t="s">
        <v>199</v>
      </c>
      <c r="N2" s="5" t="s">
        <v>160</v>
      </c>
      <c r="O2" s="0" t="s">
        <v>239</v>
      </c>
      <c r="P2" s="0" t="s">
        <v>240</v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dimension ref="A1:M30"/>
  <sheetViews>
    <sheetView tabSelected="1" workbookViewId="0">
      <pane ySplit="1" topLeftCell="A2" activePane="bottomLeft" state="frozen"/>
    </sheetView>
  </sheetViews>
  <sheetFormatPr defaultRowHeight="20"/>
  <cols>
    <col min="1" max="1" width="13" customWidth="1"/>
    <col min="2" max="2" width="18" customWidth="1"/>
    <col min="3" max="3" width="12" customWidth="1"/>
    <col min="4" max="4" width="22" customWidth="1"/>
    <col min="5" max="5" width="35" customWidth="1"/>
    <col min="6" max="6" width="35" customWidth="1"/>
    <col min="7" max="7" width="15" customWidth="1"/>
    <col min="8" max="8" width="15" customWidth="1"/>
    <col min="9" max="9" width="15" customWidth="1"/>
    <col min="10" max="10" width="15" customWidth="1"/>
    <col min="11" max="11" width="35" customWidth="1"/>
    <col min="12" max="12" width="35" customWidth="1"/>
    <col min="13" max="13" width="30" customWidth="1"/>
  </cols>
  <sheetData>
    <row r="1" ht="28" customHeight="1">
      <c r="A1" s="1" t="s">
        <v>48</v>
      </c>
      <c r="B1" s="1" t="s">
        <v>61</v>
      </c>
      <c r="C1" s="1" t="s">
        <v>63</v>
      </c>
      <c r="D1" s="1" t="s">
        <v>202</v>
      </c>
      <c r="E1" s="1" t="s">
        <v>203</v>
      </c>
      <c r="F1" s="1" t="s">
        <v>204</v>
      </c>
      <c r="G1" s="1" t="s">
        <v>205</v>
      </c>
      <c r="H1" s="1" t="s">
        <v>206</v>
      </c>
      <c r="I1" s="1" t="s">
        <v>207</v>
      </c>
      <c r="J1" s="1" t="s">
        <v>148</v>
      </c>
      <c r="K1" s="1" t="s">
        <v>208</v>
      </c>
      <c r="L1" s="1" t="s">
        <v>209</v>
      </c>
      <c r="M1" s="1" t="s">
        <v>155</v>
      </c>
    </row>
    <row r="2" ht="20">
      <c r="A2" s="2" t="s">
        <v>198</v>
      </c>
      <c r="B2" s="5" t="s">
        <v>223</v>
      </c>
      <c r="C2" s="5" t="s">
        <v>225</v>
      </c>
      <c r="D2" s="0" t="s">
        <v>156</v>
      </c>
      <c r="E2" s="0" t="s">
        <v>241</v>
      </c>
      <c r="F2" s="0" t="s">
        <v>242</v>
      </c>
      <c r="G2" s="5">
        <v>2</v>
      </c>
      <c r="H2" s="5">
        <v>2</v>
      </c>
      <c r="I2" s="5">
        <v>2</v>
      </c>
      <c r="J2" s="5" t="s">
        <v>159</v>
      </c>
      <c r="K2" s="0" t="s">
        <v>243</v>
      </c>
      <c r="L2" s="0" t="s">
        <v>244</v>
      </c>
      <c r="M2" s="0" t="s">
        <v>235</v>
      </c>
    </row>
    <row r="3" ht="20">
      <c r="A3" s="2" t="s">
        <v>198</v>
      </c>
      <c r="B3" s="5" t="s">
        <v>228</v>
      </c>
      <c r="C3" s="5" t="s">
        <v>230</v>
      </c>
      <c r="D3" s="0" t="s">
        <v>156</v>
      </c>
      <c r="E3" s="0" t="s">
        <v>241</v>
      </c>
      <c r="F3" s="0" t="s">
        <v>242</v>
      </c>
      <c r="G3" s="5">
        <v>2</v>
      </c>
      <c r="H3" s="5">
        <v>2</v>
      </c>
      <c r="I3" s="5">
        <v>2</v>
      </c>
      <c r="J3" s="5" t="s">
        <v>159</v>
      </c>
      <c r="K3" s="0" t="s">
        <v>243</v>
      </c>
      <c r="L3" s="0" t="s">
        <v>244</v>
      </c>
      <c r="M3" s="0" t="s">
        <v>237</v>
      </c>
    </row>
  </sheetData>
</worksheet>
</file>