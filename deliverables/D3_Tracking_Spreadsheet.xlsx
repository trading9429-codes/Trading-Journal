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rade_Log" sheetId="1" r:id="rId1"/>
    <sheet name="Daily_Scorecard" sheetId="2" r:id="rId2"/>
    <sheet name="Weekly_Review" sheetId="3" r:id="rId3"/>
    <sheet name="Journal" sheetId="4" r:id="rId4"/>
  </sheets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%"/>
    <numFmt numFmtId="166" formatCode="#,##0.00"/>
    <numFmt numFmtId="167" formatCode="0.00"/>
  </numFmts>
  <fonts count="6">
    <font>
      <sz val="11"/>
      <name val="Calibri"/>
      <color theme="1"/>
    </font>
    <font>
      <b/>
      <sz val="11"/>
      <name val="Calibri"/>
      <color rgb="FFFFFFFF"/>
    </font>
    <font>
      <b/>
      <sz val="11"/>
      <name val="Calibri"/>
      <color theme="1"/>
    </font>
    <font>
      <b/>
      <sz val="11"/>
      <name val="Calibri"/>
      <color rgb="FF9C0006"/>
    </font>
    <font>
      <b/>
      <sz val="11"/>
      <name val="Calibri"/>
      <color rgb="FF006100"/>
    </font>
    <font>
      <b/>
      <sz val="11"/>
      <name val="Calibri"/>
      <color rgb="FF9C6500"/>
    </font>
  </fonts>
  <fills count="7">
    <fill>
      <patternFill fillType="none"/>
    </fill>
    <fill>
      <patternFill fillType="gray125"/>
    </fill>
    <fill>
      <patternFill fillType="solid">
        <fgColor rgb="FF1F497D"/>
        <bgColor indexed="64"/>
      </patternFill>
    </fill>
    <fill>
      <patternFill fillType="solid">
        <fgColor rgb="FFFFC7CE"/>
        <bgColor indexed="64"/>
      </patternFill>
    </fill>
    <fill>
      <patternFill fillType="solid">
        <fgColor rgb="FFC6EFCE"/>
        <bgColor indexed="64"/>
      </patternFill>
    </fill>
    <fill>
      <patternFill fillType="solid">
        <fgColor rgb="FFFFEB9C"/>
        <bgColor indexed="64"/>
      </patternFill>
    </fill>
    <fill>
      <patternFill fill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/>
    </xf>
    <xf numFmtId="166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2" fillId="6" borderId="1" xfId="0" applyFont="1" applyFill="1" applyBorder="1"/>
    <xf numFmtId="0" fontId="2" fillId="0" borderId="1" xfId="0" applyFont="1" applyBorder="1" applyAlignment="1">
      <alignment horizontal="center" vertical="center"/>
    </xf>
  </cellXfs>
  <dxfs count="4">
    <dxf>
      <font>
        <color rgb="FF9C0006"/>
        <b/>
      </font>
      <fill>
        <patternFill>
          <bgColor rgb="FFFFC7CE"/>
        </patternFill>
      </fill>
    </dxf>
    <dxf>
      <font>
        <color rgb="FF006100"/>
        <b/>
      </font>
      <fill>
        <patternFill>
          <bgColor rgb="FFC6EFCE"/>
        </patternFill>
      </fill>
    </dxf>
    <dxf>
      <font>
        <color rgb="FF9C6500"/>
        <b/>
      </font>
      <fill>
        <patternFill>
          <bgColor rgb="FFFFEB9C"/>
        </patternFill>
      </fill>
    </dxf>
    <dxf>
      <fill>
        <patternFill>
          <bgColor rgb="FFF2F2F2"/>
        </patternFill>
      </fill>
    </dxf>
  </dxf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50"/>
  <sheetViews>
    <sheetView tabSelected="1" workbookViewId="0">
      <pane ySplit="1" topLeftCell="A2" activePane="bottomLeft" state="frozen"/>
    </sheetView>
  </sheetViews>
  <sheetFormatPr defaultRowHeight="20"/>
  <cols>
    <col min="1" max="1" width="18" customWidth="1"/>
    <col min="2" max="2" width="13" customWidth="1"/>
    <col min="3" max="3" width="8" customWidth="1"/>
    <col min="4" max="4" width="12" customWidth="1"/>
    <col min="5" max="5" width="12" customWidth="1"/>
    <col min="6" max="6" width="11" customWidth="1"/>
    <col min="7" max="7" width="24" customWidth="1"/>
    <col min="8" max="8" width="18" customWidth="1"/>
    <col min="9" max="9" width="17" customWidth="1"/>
    <col min="10" max="10" width="22" customWidth="1"/>
    <col min="11" max="11" width="24" customWidth="1"/>
    <col min="12" max="12" width="13" customWidth="1"/>
    <col min="13" max="13" width="13" customWidth="1"/>
    <col min="14" max="14" width="14" customWidth="1"/>
    <col min="15" max="15" width="13" customWidth="1"/>
    <col min="16" max="16" width="13" customWidth="1"/>
    <col min="17" max="17" width="13" customWidth="1"/>
    <col min="18" max="18" width="10" customWidth="1"/>
    <col min="19" max="19" width="13" customWidth="1"/>
    <col min="20" max="20" width="10" customWidth="1"/>
    <col min="21" max="21" width="13" customWidth="1"/>
    <col min="22" max="22" width="12" customWidth="1"/>
    <col min="23" max="23" width="11" customWidth="1"/>
    <col min="24" max="24" width="21" customWidth="1"/>
    <col min="25" max="25" width="15" customWidth="1"/>
    <col min="26" max="26" width="22" customWidth="1"/>
    <col min="27" max="27" width="21" customWidth="1"/>
    <col min="28" max="28" width="21" customWidth="1"/>
    <col min="29" max="29" width="20" customWidth="1"/>
    <col min="30" max="30" width="13" customWidth="1"/>
    <col min="31" max="31" width="40" customWidth="1"/>
    <col min="32" max="32" width="30" customWidth="1"/>
  </cols>
  <sheetData>
    <row r="1" ht="28" customHeight="1">
      <c r="A1" s="1" t="inlineStr">
        <is>
          <t>Trade_ID</t>
        </is>
      </c>
      <c r="B1" s="1" t="inlineStr">
        <is>
          <t>Date</t>
        </is>
      </c>
      <c r="C1" s="1" t="inlineStr">
        <is>
          <t>Day</t>
        </is>
      </c>
      <c r="D1" s="1" t="inlineStr">
        <is>
          <t>Entry_Time</t>
        </is>
      </c>
      <c r="E1" s="1" t="inlineStr">
        <is>
          <t>Symbol</t>
        </is>
      </c>
      <c r="F1" s="1" t="inlineStr">
        <is>
          <t>Direction</t>
        </is>
      </c>
      <c r="G1" s="1" t="inlineStr">
        <is>
          <t>Setup_Name</t>
        </is>
      </c>
      <c r="H1" s="1" t="inlineStr">
        <is>
          <t>Scanner_Alert_Time</t>
        </is>
      </c>
      <c r="I1" s="1" t="inlineStr">
        <is>
          <t>HTF_Context_OK</t>
        </is>
      </c>
      <c r="J1" s="1" t="inlineStr">
        <is>
          <t>Entry_Planned_NoChase</t>
        </is>
      </c>
      <c r="K1" s="1" t="inlineStr">
        <is>
          <t>Stop_Defined_Before_Entry</t>
        </is>
      </c>
      <c r="L1" s="1" t="inlineStr">
        <is>
          <t>RR_Planned</t>
        </is>
      </c>
      <c r="M1" s="1" t="inlineStr">
        <is>
          <t>Risk_Percent</t>
        </is>
      </c>
      <c r="N1" s="1" t="inlineStr">
        <is>
          <t>Risk_Amount</t>
        </is>
      </c>
      <c r="O1" s="1" t="inlineStr">
        <is>
          <t>Entry_Price</t>
        </is>
      </c>
      <c r="P1" s="1" t="inlineStr">
        <is>
          <t>Stop_Price</t>
        </is>
      </c>
      <c r="Q1" s="1" t="inlineStr">
        <is>
          <t>Exit_Price</t>
        </is>
      </c>
      <c r="R1" s="1" t="inlineStr">
        <is>
          <t>Qty</t>
        </is>
      </c>
      <c r="S1" s="1" t="inlineStr">
        <is>
          <t>Gross_PnL</t>
        </is>
      </c>
      <c r="T1" s="1" t="inlineStr">
        <is>
          <t>Costs</t>
        </is>
      </c>
      <c r="U1" s="1" t="inlineStr">
        <is>
          <t>Net_PnL</t>
        </is>
      </c>
      <c r="V1" s="1" t="inlineStr">
        <is>
          <t>R_Multiple</t>
        </is>
      </c>
      <c r="W1" s="1" t="inlineStr">
        <is>
          <t>Outcome</t>
        </is>
      </c>
      <c r="X1" s="1" t="inlineStr">
        <is>
          <t>Checklist_Score_0to5</t>
        </is>
      </c>
      <c r="Y1" s="1" t="inlineStr">
        <is>
          <t>Rule_Violation</t>
        </is>
      </c>
      <c r="Z1" s="1" t="inlineStr">
        <is>
          <t>Violation_Type</t>
        </is>
      </c>
      <c r="AA1" s="1" t="inlineStr">
        <is>
          <t>Emotion_Before_1to10</t>
        </is>
      </c>
      <c r="AB1" s="1" t="inlineStr">
        <is>
          <t>Emotion_During_1to10</t>
        </is>
      </c>
      <c r="AC1" s="1" t="inlineStr">
        <is>
          <t>Emotion_After_1to10</t>
        </is>
      </c>
      <c r="AD1" s="1" t="inlineStr">
        <is>
          <t>Trade_Valid</t>
        </is>
      </c>
      <c r="AE1" s="1" t="inlineStr">
        <is>
          <t>Lesson</t>
        </is>
      </c>
      <c r="AF1" s="1" t="inlineStr">
        <is>
          <t>Screenshot_Link</t>
        </is>
      </c>
    </row>
    <row r="2" ht="20">
      <c r="A2" s="5" t="inlineStr">
        <is>
          <t>T-001 [EXAMPLE]</t>
        </is>
      </c>
      <c r="B2" s="2" t="inlineStr">
        <is>
          <t>2026-10-20</t>
        </is>
      </c>
      <c r="C2" s="5" t="str">
        <f>IF(B2="","",TEXT(B2,"ddd"))</f>
        <v>Tue</v>
      </c>
      <c r="D2" s="5" t="inlineStr">
        <is>
          <t>09:35</t>
        </is>
      </c>
      <c r="E2" s="5" t="inlineStr">
        <is>
          <t>RELIANCE</t>
        </is>
      </c>
      <c r="F2" s="5" t="inlineStr">
        <is>
          <t>Long</t>
        </is>
      </c>
      <c r="G2" s="0" t="inlineStr">
        <is>
          <t>1m Pullback to 9EMA</t>
        </is>
      </c>
      <c r="H2" s="5" t="inlineStr">
        <is>
          <t>09:33</t>
        </is>
      </c>
      <c r="I2" s="5" t="inlineStr">
        <is>
          <t>Y</t>
        </is>
      </c>
      <c r="J2" s="5" t="inlineStr">
        <is>
          <t>Y</t>
        </is>
      </c>
      <c r="K2" s="5" t="inlineStr">
        <is>
          <t>Y</t>
        </is>
      </c>
      <c r="L2" s="6">
        <v>2.0</v>
      </c>
      <c r="M2" s="3">
        <v>0.0025</v>
      </c>
      <c r="N2" s="4">
        <f>IF(OR(O2="",P2="",R2=""),"",ABS(O2-P2)*R2)</f>
        <v>500.0</v>
      </c>
      <c r="O2" s="4">
        <v>2500.0</v>
      </c>
      <c r="P2" s="4">
        <v>2495.0</v>
      </c>
      <c r="Q2" s="4">
        <v>2510.0</v>
      </c>
      <c r="R2" s="0">
        <v>100</v>
      </c>
      <c r="S2" s="4">
        <f>IF(OR(O2="",Q2="",R2=""),"",IF(F2="Long",(Q2-O2)*R2,(O2-Q2)*R2))</f>
        <v>1000.0</v>
      </c>
      <c r="T2" s="4">
        <v>50.0</v>
      </c>
      <c r="U2" s="4">
        <f>IF(S2="","",S2-T2)</f>
        <v>950.0</v>
      </c>
      <c r="V2" s="6">
        <f>IF(OR(N2="",N2=0,U2=""),"",U2/N2)</f>
        <v>1.9</v>
      </c>
      <c r="W2" s="5" t="str">
        <f>IF(U2="","",IF(U2&gt;0,"Win",IF(U2&lt;0,"Loss","BE")))</f>
        <v>Win</v>
      </c>
      <c r="X2" s="5">
        <v>5</v>
      </c>
      <c r="Y2" s="5" t="inlineStr">
        <is>
          <t>N</t>
        </is>
      </c>
      <c r="Z2" s="5" t="inlineStr">
        <is>
          <t>None</t>
        </is>
      </c>
      <c r="AA2" s="5">
        <v>2</v>
      </c>
      <c r="AB2" s="5">
        <v>3</v>
      </c>
      <c r="AC2" s="5">
        <v>2</v>
      </c>
      <c r="AD2" s="5" t="str">
        <f>IF(OR(X2="",Y2=""),"",IF(AND(X2&gt;=5,Y2="N"),"Y","N"))</f>
        <v>Y</v>
      </c>
      <c r="AE2" s="0" t="inlineStr">
        <is>
          <t>Followed plan, entry at limit, patient exit at target.</t>
        </is>
      </c>
      <c r="AF2" s="0" t="inlineStr">
        <is>
          <t>https://tradingview.com/x/example1</t>
        </is>
      </c>
    </row>
    <row r="3" ht="20">
      <c r="A3" s="5" t="inlineStr">
        <is>
          <t>T-002 [EXAMPLE]</t>
        </is>
      </c>
      <c r="B3" s="2" t="inlineStr">
        <is>
          <t>2026-10-20</t>
        </is>
      </c>
      <c r="C3" s="5" t="str">
        <f>IF(B3="","",TEXT(B3,"ddd"))</f>
        <v>Tue</v>
      </c>
      <c r="D3" s="5" t="inlineStr">
        <is>
          <t>10:15</t>
        </is>
      </c>
      <c r="E3" s="5" t="inlineStr">
        <is>
          <t>TCS</t>
        </is>
      </c>
      <c r="F3" s="5" t="inlineStr">
        <is>
          <t>Short</t>
        </is>
      </c>
      <c r="G3" s="0" t="inlineStr">
        <is>
          <t>1m Breakdown Re-test</t>
        </is>
      </c>
      <c r="H3" s="5" t="inlineStr">
        <is>
          <t>10:12</t>
        </is>
      </c>
      <c r="I3" s="5" t="inlineStr">
        <is>
          <t>Y</t>
        </is>
      </c>
      <c r="J3" s="5" t="inlineStr">
        <is>
          <t>Y</t>
        </is>
      </c>
      <c r="K3" s="5" t="inlineStr">
        <is>
          <t>Y</t>
        </is>
      </c>
      <c r="L3" s="6">
        <v>2.0</v>
      </c>
      <c r="M3" s="3">
        <v>0.0025</v>
      </c>
      <c r="N3" s="4">
        <f>IF(OR(O3="",P3="",R3=""),"",ABS(O3-P3)*R3)</f>
        <v>500.0</v>
      </c>
      <c r="O3" s="4">
        <v>3500.0</v>
      </c>
      <c r="P3" s="4">
        <v>3510.0</v>
      </c>
      <c r="Q3" s="4">
        <v>3510.0</v>
      </c>
      <c r="R3" s="0">
        <v>50</v>
      </c>
      <c r="S3" s="4">
        <f>IF(OR(O3="",Q3="",R3=""),"",IF(F3="Long",(Q3-O3)*R3,(O3-Q3)*R3))</f>
        <v>-500.0</v>
      </c>
      <c r="T3" s="4">
        <v>40.0</v>
      </c>
      <c r="U3" s="4">
        <f>IF(S3="","",S3-T3)</f>
        <v>-540.0</v>
      </c>
      <c r="V3" s="6">
        <f>IF(OR(N3="",N3=0,U3=""),"",U3/N3)</f>
        <v>-1.08</v>
      </c>
      <c r="W3" s="5" t="str">
        <f>IF(U3="","",IF(U3&gt;0,"Win",IF(U3&lt;0,"Loss","BE")))</f>
        <v>Loss</v>
      </c>
      <c r="X3" s="5">
        <v>5</v>
      </c>
      <c r="Y3" s="5" t="inlineStr">
        <is>
          <t>N</t>
        </is>
      </c>
      <c r="Z3" s="5" t="inlineStr">
        <is>
          <t>None</t>
        </is>
      </c>
      <c r="AA3" s="5">
        <v>3</v>
      </c>
      <c r="AB3" s="5">
        <v>4</v>
      </c>
      <c r="AC3" s="5">
        <v>3</v>
      </c>
      <c r="AD3" s="5" t="str">
        <f>IF(OR(X3="",Y3=""),"",IF(AND(X3&gt;=5,Y3="N"),"Y","N"))</f>
        <v>Y</v>
      </c>
      <c r="AE3" s="0" t="inlineStr">
        <is>
          <t>Setup failed normally; respected stop without hesitation; entered 30m cooldown.</t>
        </is>
      </c>
      <c r="AF3" s="0" t="inlineStr">
        <is>
          <t>https://tradingview.com/x/example2</t>
        </is>
      </c>
    </row>
    <row r="4" ht="20">
      <c r="A4" s="5" t="inlineStr">
        <is>
          <t>T-003 [EXAMPLE]</t>
        </is>
      </c>
      <c r="B4" s="2" t="inlineStr">
        <is>
          <t>2026-10-21</t>
        </is>
      </c>
      <c r="C4" s="5" t="str">
        <f>IF(B4="","",TEXT(B4,"ddd"))</f>
        <v>Wed</v>
      </c>
      <c r="D4" s="5" t="inlineStr">
        <is>
          <t>09:45</t>
        </is>
      </c>
      <c r="E4" s="5" t="inlineStr">
        <is>
          <t>INFY</t>
        </is>
      </c>
      <c r="F4" s="5" t="inlineStr">
        <is>
          <t>Long</t>
        </is>
      </c>
      <c r="G4" s="0" t="inlineStr">
        <is>
          <t>1m Momentum Breakout</t>
        </is>
      </c>
      <c r="H4" s="5" t="inlineStr">
        <is>
          <t>09:44</t>
        </is>
      </c>
      <c r="I4" s="5" t="inlineStr">
        <is>
          <t>Y</t>
        </is>
      </c>
      <c r="J4" s="5" t="inlineStr">
        <is>
          <t>Y</t>
        </is>
      </c>
      <c r="K4" s="5" t="inlineStr">
        <is>
          <t>Y</t>
        </is>
      </c>
      <c r="L4" s="6">
        <v>2.5</v>
      </c>
      <c r="M4" s="3">
        <v>0.0025</v>
      </c>
      <c r="N4" s="4">
        <f>IF(OR(O4="",P4="",R4=""),"",ABS(O4-P4)*R4)</f>
        <v>500.0</v>
      </c>
      <c r="O4" s="4">
        <v>1450.0</v>
      </c>
      <c r="P4" s="4">
        <v>1445.0</v>
      </c>
      <c r="Q4" s="4">
        <v>1460.0</v>
      </c>
      <c r="R4" s="0">
        <v>100</v>
      </c>
      <c r="S4" s="4">
        <f>IF(OR(O4="",Q4="",R4=""),"",IF(F4="Long",(Q4-O4)*R4,(O4-Q4)*R4))</f>
        <v>1000.0</v>
      </c>
      <c r="T4" s="4">
        <v>45.0</v>
      </c>
      <c r="U4" s="4">
        <f>IF(S4="","",S4-T4)</f>
        <v>955.0</v>
      </c>
      <c r="V4" s="6">
        <f>IF(OR(N4="",N4=0,U4=""),"",U4/N4)</f>
        <v>1.91</v>
      </c>
      <c r="W4" s="5" t="str">
        <f>IF(U4="","",IF(U4&gt;0,"Win",IF(U4&lt;0,"Loss","BE")))</f>
        <v>Win</v>
      </c>
      <c r="X4" s="5">
        <v>5</v>
      </c>
      <c r="Y4" s="5" t="inlineStr">
        <is>
          <t>N</t>
        </is>
      </c>
      <c r="Z4" s="5" t="inlineStr">
        <is>
          <t>None</t>
        </is>
      </c>
      <c r="AA4" s="5">
        <v>2</v>
      </c>
      <c r="AB4" s="5">
        <v>3</v>
      </c>
      <c r="AC4" s="5">
        <v>2</v>
      </c>
      <c r="AD4" s="5" t="str">
        <f>IF(OR(X4="",Y4=""),"",IF(AND(X4&gt;=5,Y4="N"),"Y","N"))</f>
        <v>Y</v>
      </c>
      <c r="AE4" s="0" t="inlineStr">
        <is>
          <t>Good patience waiting for bar close confirmation.</t>
        </is>
      </c>
      <c r="AF4" s="0" t="inlineStr">
        <is>
          <t>https://tradingview.com/x/example3</t>
        </is>
      </c>
    </row>
    <row r="5" ht="20">
      <c r="A5" s="5"/>
      <c r="B5" s="2"/>
      <c r="C5" s="5" t="str">
        <f>IF(B5="","",TEXT(B5,"ddd"))</f>
        <v/>
      </c>
      <c r="D5" s="5"/>
      <c r="E5" s="5"/>
      <c r="F5" s="5"/>
      <c r="G5" s="0"/>
      <c r="H5" s="5"/>
      <c r="I5" s="5"/>
      <c r="J5" s="5"/>
      <c r="K5" s="5"/>
      <c r="L5" s="6"/>
      <c r="M5" s="3"/>
      <c r="N5" s="4" t="str">
        <f>IF(OR(O5="",P5="",R5=""),"",ABS(O5-P5)*R5)</f>
        <v/>
      </c>
      <c r="O5" s="4"/>
      <c r="P5" s="4"/>
      <c r="Q5" s="4"/>
      <c r="R5" s="0"/>
      <c r="S5" s="4" t="str">
        <f>IF(OR(O5="",Q5="",R5=""),"",IF(F5="Long",(Q5-O5)*R5,(O5-Q5)*R5))</f>
        <v/>
      </c>
      <c r="T5" s="4"/>
      <c r="U5" s="4" t="str">
        <f>IF(S5="","",S5-T5)</f>
        <v/>
      </c>
      <c r="V5" s="6" t="str">
        <f>IF(OR(N5="",N5=0,U5=""),"",U5/N5)</f>
        <v/>
      </c>
      <c r="W5" s="5" t="str">
        <f>IF(U5="","",IF(U5&gt;0,"Win",IF(U5&lt;0,"Loss","BE")))</f>
        <v/>
      </c>
      <c r="X5" s="5"/>
      <c r="Y5" s="5"/>
      <c r="Z5" s="5"/>
      <c r="AA5" s="5"/>
      <c r="AB5" s="5"/>
      <c r="AC5" s="5"/>
      <c r="AD5" s="5" t="str">
        <f>IF(OR(X5="",Y5=""),"",IF(AND(X5&gt;=5,Y5="N"),"Y","N"))</f>
        <v/>
      </c>
      <c r="AE5" s="0"/>
      <c r="AF5" s="0"/>
    </row>
    <row r="6" ht="20">
      <c r="A6" s="5"/>
      <c r="B6" s="2"/>
      <c r="C6" s="5" t="str">
        <f>IF(B6="","",TEXT(B6,"ddd"))</f>
        <v/>
      </c>
      <c r="D6" s="5"/>
      <c r="E6" s="5"/>
      <c r="F6" s="5"/>
      <c r="G6" s="0"/>
      <c r="H6" s="5"/>
      <c r="I6" s="5"/>
      <c r="J6" s="5"/>
      <c r="K6" s="5"/>
      <c r="L6" s="6"/>
      <c r="M6" s="3"/>
      <c r="N6" s="4" t="str">
        <f>IF(OR(O6="",P6="",R6=""),"",ABS(O6-P6)*R6)</f>
        <v/>
      </c>
      <c r="O6" s="4"/>
      <c r="P6" s="4"/>
      <c r="Q6" s="4"/>
      <c r="R6" s="0"/>
      <c r="S6" s="4" t="str">
        <f>IF(OR(O6="",Q6="",R6=""),"",IF(F6="Long",(Q6-O6)*R6,(O6-Q6)*R6))</f>
        <v/>
      </c>
      <c r="T6" s="4"/>
      <c r="U6" s="4" t="str">
        <f>IF(S6="","",S6-T6)</f>
        <v/>
      </c>
      <c r="V6" s="6" t="str">
        <f>IF(OR(N6="",N6=0,U6=""),"",U6/N6)</f>
        <v/>
      </c>
      <c r="W6" s="5" t="str">
        <f>IF(U6="","",IF(U6&gt;0,"Win",IF(U6&lt;0,"Loss","BE")))</f>
        <v/>
      </c>
      <c r="X6" s="5"/>
      <c r="Y6" s="5"/>
      <c r="Z6" s="5"/>
      <c r="AA6" s="5"/>
      <c r="AB6" s="5"/>
      <c r="AC6" s="5"/>
      <c r="AD6" s="5" t="str">
        <f>IF(OR(X6="",Y6=""),"",IF(AND(X6&gt;=5,Y6="N"),"Y","N"))</f>
        <v/>
      </c>
      <c r="AE6" s="0"/>
      <c r="AF6" s="0"/>
    </row>
    <row r="7" ht="20">
      <c r="A7" s="5"/>
      <c r="B7" s="2"/>
      <c r="C7" s="5" t="str">
        <f>IF(B7="","",TEXT(B7,"ddd"))</f>
        <v/>
      </c>
      <c r="D7" s="5"/>
      <c r="E7" s="5"/>
      <c r="F7" s="5"/>
      <c r="G7" s="0"/>
      <c r="H7" s="5"/>
      <c r="I7" s="5"/>
      <c r="J7" s="5"/>
      <c r="K7" s="5"/>
      <c r="L7" s="6"/>
      <c r="M7" s="3"/>
      <c r="N7" s="4" t="str">
        <f>IF(OR(O7="",P7="",R7=""),"",ABS(O7-P7)*R7)</f>
        <v/>
      </c>
      <c r="O7" s="4"/>
      <c r="P7" s="4"/>
      <c r="Q7" s="4"/>
      <c r="R7" s="0"/>
      <c r="S7" s="4" t="str">
        <f>IF(OR(O7="",Q7="",R7=""),"",IF(F7="Long",(Q7-O7)*R7,(O7-Q7)*R7))</f>
        <v/>
      </c>
      <c r="T7" s="4"/>
      <c r="U7" s="4" t="str">
        <f>IF(S7="","",S7-T7)</f>
        <v/>
      </c>
      <c r="V7" s="6" t="str">
        <f>IF(OR(N7="",N7=0,U7=""),"",U7/N7)</f>
        <v/>
      </c>
      <c r="W7" s="5" t="str">
        <f>IF(U7="","",IF(U7&gt;0,"Win",IF(U7&lt;0,"Loss","BE")))</f>
        <v/>
      </c>
      <c r="X7" s="5"/>
      <c r="Y7" s="5"/>
      <c r="Z7" s="5"/>
      <c r="AA7" s="5"/>
      <c r="AB7" s="5"/>
      <c r="AC7" s="5"/>
      <c r="AD7" s="5" t="str">
        <f>IF(OR(X7="",Y7=""),"",IF(AND(X7&gt;=5,Y7="N"),"Y","N"))</f>
        <v/>
      </c>
      <c r="AE7" s="0"/>
      <c r="AF7" s="0"/>
    </row>
    <row r="8" ht="20">
      <c r="A8" s="5"/>
      <c r="B8" s="2"/>
      <c r="C8" s="5" t="str">
        <f>IF(B8="","",TEXT(B8,"ddd"))</f>
        <v/>
      </c>
      <c r="D8" s="5"/>
      <c r="E8" s="5"/>
      <c r="F8" s="5"/>
      <c r="G8" s="0"/>
      <c r="H8" s="5"/>
      <c r="I8" s="5"/>
      <c r="J8" s="5"/>
      <c r="K8" s="5"/>
      <c r="L8" s="6"/>
      <c r="M8" s="3"/>
      <c r="N8" s="4" t="str">
        <f>IF(OR(O8="",P8="",R8=""),"",ABS(O8-P8)*R8)</f>
        <v/>
      </c>
      <c r="O8" s="4"/>
      <c r="P8" s="4"/>
      <c r="Q8" s="4"/>
      <c r="R8" s="0"/>
      <c r="S8" s="4" t="str">
        <f>IF(OR(O8="",Q8="",R8=""),"",IF(F8="Long",(Q8-O8)*R8,(O8-Q8)*R8))</f>
        <v/>
      </c>
      <c r="T8" s="4"/>
      <c r="U8" s="4" t="str">
        <f>IF(S8="","",S8-T8)</f>
        <v/>
      </c>
      <c r="V8" s="6" t="str">
        <f>IF(OR(N8="",N8=0,U8=""),"",U8/N8)</f>
        <v/>
      </c>
      <c r="W8" s="5" t="str">
        <f>IF(U8="","",IF(U8&gt;0,"Win",IF(U8&lt;0,"Loss","BE")))</f>
        <v/>
      </c>
      <c r="X8" s="5"/>
      <c r="Y8" s="5"/>
      <c r="Z8" s="5"/>
      <c r="AA8" s="5"/>
      <c r="AB8" s="5"/>
      <c r="AC8" s="5"/>
      <c r="AD8" s="5" t="str">
        <f>IF(OR(X8="",Y8=""),"",IF(AND(X8&gt;=5,Y8="N"),"Y","N"))</f>
        <v/>
      </c>
      <c r="AE8" s="0"/>
      <c r="AF8" s="0"/>
    </row>
    <row r="9" ht="20">
      <c r="A9" s="5"/>
      <c r="B9" s="2"/>
      <c r="C9" s="5" t="str">
        <f>IF(B9="","",TEXT(B9,"ddd"))</f>
        <v/>
      </c>
      <c r="D9" s="5"/>
      <c r="E9" s="5"/>
      <c r="F9" s="5"/>
      <c r="G9" s="0"/>
      <c r="H9" s="5"/>
      <c r="I9" s="5"/>
      <c r="J9" s="5"/>
      <c r="K9" s="5"/>
      <c r="L9" s="6"/>
      <c r="M9" s="3"/>
      <c r="N9" s="4" t="str">
        <f>IF(OR(O9="",P9="",R9=""),"",ABS(O9-P9)*R9)</f>
        <v/>
      </c>
      <c r="O9" s="4"/>
      <c r="P9" s="4"/>
      <c r="Q9" s="4"/>
      <c r="R9" s="0"/>
      <c r="S9" s="4" t="str">
        <f>IF(OR(O9="",Q9="",R9=""),"",IF(F9="Long",(Q9-O9)*R9,(O9-Q9)*R9))</f>
        <v/>
      </c>
      <c r="T9" s="4"/>
      <c r="U9" s="4" t="str">
        <f>IF(S9="","",S9-T9)</f>
        <v/>
      </c>
      <c r="V9" s="6" t="str">
        <f>IF(OR(N9="",N9=0,U9=""),"",U9/N9)</f>
        <v/>
      </c>
      <c r="W9" s="5" t="str">
        <f>IF(U9="","",IF(U9&gt;0,"Win",IF(U9&lt;0,"Loss","BE")))</f>
        <v/>
      </c>
      <c r="X9" s="5"/>
      <c r="Y9" s="5"/>
      <c r="Z9" s="5"/>
      <c r="AA9" s="5"/>
      <c r="AB9" s="5"/>
      <c r="AC9" s="5"/>
      <c r="AD9" s="5" t="str">
        <f>IF(OR(X9="",Y9=""),"",IF(AND(X9&gt;=5,Y9="N"),"Y","N"))</f>
        <v/>
      </c>
      <c r="AE9" s="0"/>
      <c r="AF9" s="0"/>
    </row>
    <row r="10" ht="20">
      <c r="A10" s="5"/>
      <c r="B10" s="2"/>
      <c r="C10" s="5" t="str">
        <f>IF(B10="","",TEXT(B10,"ddd"))</f>
        <v/>
      </c>
      <c r="D10" s="5"/>
      <c r="E10" s="5"/>
      <c r="F10" s="5"/>
      <c r="G10" s="0"/>
      <c r="H10" s="5"/>
      <c r="I10" s="5"/>
      <c r="J10" s="5"/>
      <c r="K10" s="5"/>
      <c r="L10" s="6"/>
      <c r="M10" s="3"/>
      <c r="N10" s="4" t="str">
        <f>IF(OR(O10="",P10="",R10=""),"",ABS(O10-P10)*R10)</f>
        <v/>
      </c>
      <c r="O10" s="4"/>
      <c r="P10" s="4"/>
      <c r="Q10" s="4"/>
      <c r="R10" s="0"/>
      <c r="S10" s="4" t="str">
        <f>IF(OR(O10="",Q10="",R10=""),"",IF(F10="Long",(Q10-O10)*R10,(O10-Q10)*R10))</f>
        <v/>
      </c>
      <c r="T10" s="4"/>
      <c r="U10" s="4" t="str">
        <f>IF(S10="","",S10-T10)</f>
        <v/>
      </c>
      <c r="V10" s="6" t="str">
        <f>IF(OR(N10="",N10=0,U10=""),"",U10/N10)</f>
        <v/>
      </c>
      <c r="W10" s="5" t="str">
        <f>IF(U10="","",IF(U10&gt;0,"Win",IF(U10&lt;0,"Loss","BE")))</f>
        <v/>
      </c>
      <c r="X10" s="5"/>
      <c r="Y10" s="5"/>
      <c r="Z10" s="5"/>
      <c r="AA10" s="5"/>
      <c r="AB10" s="5"/>
      <c r="AC10" s="5"/>
      <c r="AD10" s="5" t="str">
        <f>IF(OR(X10="",Y10=""),"",IF(AND(X10&gt;=5,Y10="N"),"Y","N"))</f>
        <v/>
      </c>
      <c r="AE10" s="0"/>
      <c r="AF10" s="0"/>
    </row>
    <row r="11" ht="20">
      <c r="A11" s="5"/>
      <c r="B11" s="2"/>
      <c r="C11" s="5" t="str">
        <f>IF(B11="","",TEXT(B11,"ddd"))</f>
        <v/>
      </c>
      <c r="D11" s="5"/>
      <c r="E11" s="5"/>
      <c r="F11" s="5"/>
      <c r="G11" s="0"/>
      <c r="H11" s="5"/>
      <c r="I11" s="5"/>
      <c r="J11" s="5"/>
      <c r="K11" s="5"/>
      <c r="L11" s="6"/>
      <c r="M11" s="3"/>
      <c r="N11" s="4" t="str">
        <f>IF(OR(O11="",P11="",R11=""),"",ABS(O11-P11)*R11)</f>
        <v/>
      </c>
      <c r="O11" s="4"/>
      <c r="P11" s="4"/>
      <c r="Q11" s="4"/>
      <c r="R11" s="0"/>
      <c r="S11" s="4" t="str">
        <f>IF(OR(O11="",Q11="",R11=""),"",IF(F11="Long",(Q11-O11)*R11,(O11-Q11)*R11))</f>
        <v/>
      </c>
      <c r="T11" s="4"/>
      <c r="U11" s="4" t="str">
        <f>IF(S11="","",S11-T11)</f>
        <v/>
      </c>
      <c r="V11" s="6" t="str">
        <f>IF(OR(N11="",N11=0,U11=""),"",U11/N11)</f>
        <v/>
      </c>
      <c r="W11" s="5" t="str">
        <f>IF(U11="","",IF(U11&gt;0,"Win",IF(U11&lt;0,"Loss","BE")))</f>
        <v/>
      </c>
      <c r="X11" s="5"/>
      <c r="Y11" s="5"/>
      <c r="Z11" s="5"/>
      <c r="AA11" s="5"/>
      <c r="AB11" s="5"/>
      <c r="AC11" s="5"/>
      <c r="AD11" s="5" t="str">
        <f>IF(OR(X11="",Y11=""),"",IF(AND(X11&gt;=5,Y11="N"),"Y","N"))</f>
        <v/>
      </c>
      <c r="AE11" s="0"/>
      <c r="AF11" s="0"/>
    </row>
    <row r="12" ht="20">
      <c r="A12" s="5"/>
      <c r="B12" s="2"/>
      <c r="C12" s="5" t="str">
        <f>IF(B12="","",TEXT(B12,"ddd"))</f>
        <v/>
      </c>
      <c r="D12" s="5"/>
      <c r="E12" s="5"/>
      <c r="F12" s="5"/>
      <c r="G12" s="0"/>
      <c r="H12" s="5"/>
      <c r="I12" s="5"/>
      <c r="J12" s="5"/>
      <c r="K12" s="5"/>
      <c r="L12" s="6"/>
      <c r="M12" s="3"/>
      <c r="N12" s="4" t="str">
        <f>IF(OR(O12="",P12="",R12=""),"",ABS(O12-P12)*R12)</f>
        <v/>
      </c>
      <c r="O12" s="4"/>
      <c r="P12" s="4"/>
      <c r="Q12" s="4"/>
      <c r="R12" s="0"/>
      <c r="S12" s="4" t="str">
        <f>IF(OR(O12="",Q12="",R12=""),"",IF(F12="Long",(Q12-O12)*R12,(O12-Q12)*R12))</f>
        <v/>
      </c>
      <c r="T12" s="4"/>
      <c r="U12" s="4" t="str">
        <f>IF(S12="","",S12-T12)</f>
        <v/>
      </c>
      <c r="V12" s="6" t="str">
        <f>IF(OR(N12="",N12=0,U12=""),"",U12/N12)</f>
        <v/>
      </c>
      <c r="W12" s="5" t="str">
        <f>IF(U12="","",IF(U12&gt;0,"Win",IF(U12&lt;0,"Loss","BE")))</f>
        <v/>
      </c>
      <c r="X12" s="5"/>
      <c r="Y12" s="5"/>
      <c r="Z12" s="5"/>
      <c r="AA12" s="5"/>
      <c r="AB12" s="5"/>
      <c r="AC12" s="5"/>
      <c r="AD12" s="5" t="str">
        <f>IF(OR(X12="",Y12=""),"",IF(AND(X12&gt;=5,Y12="N"),"Y","N"))</f>
        <v/>
      </c>
      <c r="AE12" s="0"/>
      <c r="AF12" s="0"/>
    </row>
    <row r="13" ht="20">
      <c r="A13" s="5"/>
      <c r="B13" s="2"/>
      <c r="C13" s="5" t="str">
        <f>IF(B13="","",TEXT(B13,"ddd"))</f>
        <v/>
      </c>
      <c r="D13" s="5"/>
      <c r="E13" s="5"/>
      <c r="F13" s="5"/>
      <c r="G13" s="0"/>
      <c r="H13" s="5"/>
      <c r="I13" s="5"/>
      <c r="J13" s="5"/>
      <c r="K13" s="5"/>
      <c r="L13" s="6"/>
      <c r="M13" s="3"/>
      <c r="N13" s="4" t="str">
        <f>IF(OR(O13="",P13="",R13=""),"",ABS(O13-P13)*R13)</f>
        <v/>
      </c>
      <c r="O13" s="4"/>
      <c r="P13" s="4"/>
      <c r="Q13" s="4"/>
      <c r="R13" s="0"/>
      <c r="S13" s="4" t="str">
        <f>IF(OR(O13="",Q13="",R13=""),"",IF(F13="Long",(Q13-O13)*R13,(O13-Q13)*R13))</f>
        <v/>
      </c>
      <c r="T13" s="4"/>
      <c r="U13" s="4" t="str">
        <f>IF(S13="","",S13-T13)</f>
        <v/>
      </c>
      <c r="V13" s="6" t="str">
        <f>IF(OR(N13="",N13=0,U13=""),"",U13/N13)</f>
        <v/>
      </c>
      <c r="W13" s="5" t="str">
        <f>IF(U13="","",IF(U13&gt;0,"Win",IF(U13&lt;0,"Loss","BE")))</f>
        <v/>
      </c>
      <c r="X13" s="5"/>
      <c r="Y13" s="5"/>
      <c r="Z13" s="5"/>
      <c r="AA13" s="5"/>
      <c r="AB13" s="5"/>
      <c r="AC13" s="5"/>
      <c r="AD13" s="5" t="str">
        <f>IF(OR(X13="",Y13=""),"",IF(AND(X13&gt;=5,Y13="N"),"Y","N"))</f>
        <v/>
      </c>
      <c r="AE13" s="0"/>
      <c r="AF13" s="0"/>
    </row>
    <row r="14" ht="20">
      <c r="A14" s="5"/>
      <c r="B14" s="2"/>
      <c r="C14" s="5" t="str">
        <f>IF(B14="","",TEXT(B14,"ddd"))</f>
        <v/>
      </c>
      <c r="D14" s="5"/>
      <c r="E14" s="5"/>
      <c r="F14" s="5"/>
      <c r="G14" s="0"/>
      <c r="H14" s="5"/>
      <c r="I14" s="5"/>
      <c r="J14" s="5"/>
      <c r="K14" s="5"/>
      <c r="L14" s="6"/>
      <c r="M14" s="3"/>
      <c r="N14" s="4" t="str">
        <f>IF(OR(O14="",P14="",R14=""),"",ABS(O14-P14)*R14)</f>
        <v/>
      </c>
      <c r="O14" s="4"/>
      <c r="P14" s="4"/>
      <c r="Q14" s="4"/>
      <c r="R14" s="0"/>
      <c r="S14" s="4" t="str">
        <f>IF(OR(O14="",Q14="",R14=""),"",IF(F14="Long",(Q14-O14)*R14,(O14-Q14)*R14))</f>
        <v/>
      </c>
      <c r="T14" s="4"/>
      <c r="U14" s="4" t="str">
        <f>IF(S14="","",S14-T14)</f>
        <v/>
      </c>
      <c r="V14" s="6" t="str">
        <f>IF(OR(N14="",N14=0,U14=""),"",U14/N14)</f>
        <v/>
      </c>
      <c r="W14" s="5" t="str">
        <f>IF(U14="","",IF(U14&gt;0,"Win",IF(U14&lt;0,"Loss","BE")))</f>
        <v/>
      </c>
      <c r="X14" s="5"/>
      <c r="Y14" s="5"/>
      <c r="Z14" s="5"/>
      <c r="AA14" s="5"/>
      <c r="AB14" s="5"/>
      <c r="AC14" s="5"/>
      <c r="AD14" s="5" t="str">
        <f>IF(OR(X14="",Y14=""),"",IF(AND(X14&gt;=5,Y14="N"),"Y","N"))</f>
        <v/>
      </c>
      <c r="AE14" s="0"/>
      <c r="AF14" s="0"/>
    </row>
    <row r="15" ht="20">
      <c r="A15" s="5"/>
      <c r="B15" s="2"/>
      <c r="C15" s="5" t="str">
        <f>IF(B15="","",TEXT(B15,"ddd"))</f>
        <v/>
      </c>
      <c r="D15" s="5"/>
      <c r="E15" s="5"/>
      <c r="F15" s="5"/>
      <c r="G15" s="0"/>
      <c r="H15" s="5"/>
      <c r="I15" s="5"/>
      <c r="J15" s="5"/>
      <c r="K15" s="5"/>
      <c r="L15" s="6"/>
      <c r="M15" s="3"/>
      <c r="N15" s="4" t="str">
        <f>IF(OR(O15="",P15="",R15=""),"",ABS(O15-P15)*R15)</f>
        <v/>
      </c>
      <c r="O15" s="4"/>
      <c r="P15" s="4"/>
      <c r="Q15" s="4"/>
      <c r="R15" s="0"/>
      <c r="S15" s="4" t="str">
        <f>IF(OR(O15="",Q15="",R15=""),"",IF(F15="Long",(Q15-O15)*R15,(O15-Q15)*R15))</f>
        <v/>
      </c>
      <c r="T15" s="4"/>
      <c r="U15" s="4" t="str">
        <f>IF(S15="","",S15-T15)</f>
        <v/>
      </c>
      <c r="V15" s="6" t="str">
        <f>IF(OR(N15="",N15=0,U15=""),"",U15/N15)</f>
        <v/>
      </c>
      <c r="W15" s="5" t="str">
        <f>IF(U15="","",IF(U15&gt;0,"Win",IF(U15&lt;0,"Loss","BE")))</f>
        <v/>
      </c>
      <c r="X15" s="5"/>
      <c r="Y15" s="5"/>
      <c r="Z15" s="5"/>
      <c r="AA15" s="5"/>
      <c r="AB15" s="5"/>
      <c r="AC15" s="5"/>
      <c r="AD15" s="5" t="str">
        <f>IF(OR(X15="",Y15=""),"",IF(AND(X15&gt;=5,Y15="N"),"Y","N"))</f>
        <v/>
      </c>
      <c r="AE15" s="0"/>
      <c r="AF15" s="0"/>
    </row>
    <row r="16" ht="20">
      <c r="A16" s="5"/>
      <c r="B16" s="2"/>
      <c r="C16" s="5" t="str">
        <f>IF(B16="","",TEXT(B16,"ddd"))</f>
        <v/>
      </c>
      <c r="D16" s="5"/>
      <c r="E16" s="5"/>
      <c r="F16" s="5"/>
      <c r="G16" s="0"/>
      <c r="H16" s="5"/>
      <c r="I16" s="5"/>
      <c r="J16" s="5"/>
      <c r="K16" s="5"/>
      <c r="L16" s="6"/>
      <c r="M16" s="3"/>
      <c r="N16" s="4" t="str">
        <f>IF(OR(O16="",P16="",R16=""),"",ABS(O16-P16)*R16)</f>
        <v/>
      </c>
      <c r="O16" s="4"/>
      <c r="P16" s="4"/>
      <c r="Q16" s="4"/>
      <c r="R16" s="0"/>
      <c r="S16" s="4" t="str">
        <f>IF(OR(O16="",Q16="",R16=""),"",IF(F16="Long",(Q16-O16)*R16,(O16-Q16)*R16))</f>
        <v/>
      </c>
      <c r="T16" s="4"/>
      <c r="U16" s="4" t="str">
        <f>IF(S16="","",S16-T16)</f>
        <v/>
      </c>
      <c r="V16" s="6" t="str">
        <f>IF(OR(N16="",N16=0,U16=""),"",U16/N16)</f>
        <v/>
      </c>
      <c r="W16" s="5" t="str">
        <f>IF(U16="","",IF(U16&gt;0,"Win",IF(U16&lt;0,"Loss","BE")))</f>
        <v/>
      </c>
      <c r="X16" s="5"/>
      <c r="Y16" s="5"/>
      <c r="Z16" s="5"/>
      <c r="AA16" s="5"/>
      <c r="AB16" s="5"/>
      <c r="AC16" s="5"/>
      <c r="AD16" s="5" t="str">
        <f>IF(OR(X16="",Y16=""),"",IF(AND(X16&gt;=5,Y16="N"),"Y","N"))</f>
        <v/>
      </c>
      <c r="AE16" s="0"/>
      <c r="AF16" s="0"/>
    </row>
    <row r="17" ht="20">
      <c r="A17" s="5"/>
      <c r="B17" s="2"/>
      <c r="C17" s="5" t="str">
        <f>IF(B17="","",TEXT(B17,"ddd"))</f>
        <v/>
      </c>
      <c r="D17" s="5"/>
      <c r="E17" s="5"/>
      <c r="F17" s="5"/>
      <c r="G17" s="0"/>
      <c r="H17" s="5"/>
      <c r="I17" s="5"/>
      <c r="J17" s="5"/>
      <c r="K17" s="5"/>
      <c r="L17" s="6"/>
      <c r="M17" s="3"/>
      <c r="N17" s="4" t="str">
        <f>IF(OR(O17="",P17="",R17=""),"",ABS(O17-P17)*R17)</f>
        <v/>
      </c>
      <c r="O17" s="4"/>
      <c r="P17" s="4"/>
      <c r="Q17" s="4"/>
      <c r="R17" s="0"/>
      <c r="S17" s="4" t="str">
        <f>IF(OR(O17="",Q17="",R17=""),"",IF(F17="Long",(Q17-O17)*R17,(O17-Q17)*R17))</f>
        <v/>
      </c>
      <c r="T17" s="4"/>
      <c r="U17" s="4" t="str">
        <f>IF(S17="","",S17-T17)</f>
        <v/>
      </c>
      <c r="V17" s="6" t="str">
        <f>IF(OR(N17="",N17=0,U17=""),"",U17/N17)</f>
        <v/>
      </c>
      <c r="W17" s="5" t="str">
        <f>IF(U17="","",IF(U17&gt;0,"Win",IF(U17&lt;0,"Loss","BE")))</f>
        <v/>
      </c>
      <c r="X17" s="5"/>
      <c r="Y17" s="5"/>
      <c r="Z17" s="5"/>
      <c r="AA17" s="5"/>
      <c r="AB17" s="5"/>
      <c r="AC17" s="5"/>
      <c r="AD17" s="5" t="str">
        <f>IF(OR(X17="",Y17=""),"",IF(AND(X17&gt;=5,Y17="N"),"Y","N"))</f>
        <v/>
      </c>
      <c r="AE17" s="0"/>
      <c r="AF17" s="0"/>
    </row>
    <row r="18" ht="20">
      <c r="A18" s="5"/>
      <c r="B18" s="2"/>
      <c r="C18" s="5" t="str">
        <f>IF(B18="","",TEXT(B18,"ddd"))</f>
        <v/>
      </c>
      <c r="D18" s="5"/>
      <c r="E18" s="5"/>
      <c r="F18" s="5"/>
      <c r="G18" s="0"/>
      <c r="H18" s="5"/>
      <c r="I18" s="5"/>
      <c r="J18" s="5"/>
      <c r="K18" s="5"/>
      <c r="L18" s="6"/>
      <c r="M18" s="3"/>
      <c r="N18" s="4" t="str">
        <f>IF(OR(O18="",P18="",R18=""),"",ABS(O18-P18)*R18)</f>
        <v/>
      </c>
      <c r="O18" s="4"/>
      <c r="P18" s="4"/>
      <c r="Q18" s="4"/>
      <c r="R18" s="0"/>
      <c r="S18" s="4" t="str">
        <f>IF(OR(O18="",Q18="",R18=""),"",IF(F18="Long",(Q18-O18)*R18,(O18-Q18)*R18))</f>
        <v/>
      </c>
      <c r="T18" s="4"/>
      <c r="U18" s="4" t="str">
        <f>IF(S18="","",S18-T18)</f>
        <v/>
      </c>
      <c r="V18" s="6" t="str">
        <f>IF(OR(N18="",N18=0,U18=""),"",U18/N18)</f>
        <v/>
      </c>
      <c r="W18" s="5" t="str">
        <f>IF(U18="","",IF(U18&gt;0,"Win",IF(U18&lt;0,"Loss","BE")))</f>
        <v/>
      </c>
      <c r="X18" s="5"/>
      <c r="Y18" s="5"/>
      <c r="Z18" s="5"/>
      <c r="AA18" s="5"/>
      <c r="AB18" s="5"/>
      <c r="AC18" s="5"/>
      <c r="AD18" s="5" t="str">
        <f>IF(OR(X18="",Y18=""),"",IF(AND(X18&gt;=5,Y18="N"),"Y","N"))</f>
        <v/>
      </c>
      <c r="AE18" s="0"/>
      <c r="AF18" s="0"/>
    </row>
    <row r="19" ht="20">
      <c r="A19" s="5"/>
      <c r="B19" s="2"/>
      <c r="C19" s="5" t="str">
        <f>IF(B19="","",TEXT(B19,"ddd"))</f>
        <v/>
      </c>
      <c r="D19" s="5"/>
      <c r="E19" s="5"/>
      <c r="F19" s="5"/>
      <c r="G19" s="0"/>
      <c r="H19" s="5"/>
      <c r="I19" s="5"/>
      <c r="J19" s="5"/>
      <c r="K19" s="5"/>
      <c r="L19" s="6"/>
      <c r="M19" s="3"/>
      <c r="N19" s="4" t="str">
        <f>IF(OR(O19="",P19="",R19=""),"",ABS(O19-P19)*R19)</f>
        <v/>
      </c>
      <c r="O19" s="4"/>
      <c r="P19" s="4"/>
      <c r="Q19" s="4"/>
      <c r="R19" s="0"/>
      <c r="S19" s="4" t="str">
        <f>IF(OR(O19="",Q19="",R19=""),"",IF(F19="Long",(Q19-O19)*R19,(O19-Q19)*R19))</f>
        <v/>
      </c>
      <c r="T19" s="4"/>
      <c r="U19" s="4" t="str">
        <f>IF(S19="","",S19-T19)</f>
        <v/>
      </c>
      <c r="V19" s="6" t="str">
        <f>IF(OR(N19="",N19=0,U19=""),"",U19/N19)</f>
        <v/>
      </c>
      <c r="W19" s="5" t="str">
        <f>IF(U19="","",IF(U19&gt;0,"Win",IF(U19&lt;0,"Loss","BE")))</f>
        <v/>
      </c>
      <c r="X19" s="5"/>
      <c r="Y19" s="5"/>
      <c r="Z19" s="5"/>
      <c r="AA19" s="5"/>
      <c r="AB19" s="5"/>
      <c r="AC19" s="5"/>
      <c r="AD19" s="5" t="str">
        <f>IF(OR(X19="",Y19=""),"",IF(AND(X19&gt;=5,Y19="N"),"Y","N"))</f>
        <v/>
      </c>
      <c r="AE19" s="0"/>
      <c r="AF19" s="0"/>
    </row>
    <row r="20" ht="20">
      <c r="A20" s="5"/>
      <c r="B20" s="2"/>
      <c r="C20" s="5" t="str">
        <f>IF(B20="","",TEXT(B20,"ddd"))</f>
        <v/>
      </c>
      <c r="D20" s="5"/>
      <c r="E20" s="5"/>
      <c r="F20" s="5"/>
      <c r="G20" s="0"/>
      <c r="H20" s="5"/>
      <c r="I20" s="5"/>
      <c r="J20" s="5"/>
      <c r="K20" s="5"/>
      <c r="L20" s="6"/>
      <c r="M20" s="3"/>
      <c r="N20" s="4" t="str">
        <f>IF(OR(O20="",P20="",R20=""),"",ABS(O20-P20)*R20)</f>
        <v/>
      </c>
      <c r="O20" s="4"/>
      <c r="P20" s="4"/>
      <c r="Q20" s="4"/>
      <c r="R20" s="0"/>
      <c r="S20" s="4" t="str">
        <f>IF(OR(O20="",Q20="",R20=""),"",IF(F20="Long",(Q20-O20)*R20,(O20-Q20)*R20))</f>
        <v/>
      </c>
      <c r="T20" s="4"/>
      <c r="U20" s="4" t="str">
        <f>IF(S20="","",S20-T20)</f>
        <v/>
      </c>
      <c r="V20" s="6" t="str">
        <f>IF(OR(N20="",N20=0,U20=""),"",U20/N20)</f>
        <v/>
      </c>
      <c r="W20" s="5" t="str">
        <f>IF(U20="","",IF(U20&gt;0,"Win",IF(U20&lt;0,"Loss","BE")))</f>
        <v/>
      </c>
      <c r="X20" s="5"/>
      <c r="Y20" s="5"/>
      <c r="Z20" s="5"/>
      <c r="AA20" s="5"/>
      <c r="AB20" s="5"/>
      <c r="AC20" s="5"/>
      <c r="AD20" s="5" t="str">
        <f>IF(OR(X20="",Y20=""),"",IF(AND(X20&gt;=5,Y20="N"),"Y","N"))</f>
        <v/>
      </c>
      <c r="AE20" s="0"/>
      <c r="AF20" s="0"/>
    </row>
    <row r="21" ht="20">
      <c r="A21" s="5"/>
      <c r="B21" s="2"/>
      <c r="C21" s="5" t="str">
        <f>IF(B21="","",TEXT(B21,"ddd"))</f>
        <v/>
      </c>
      <c r="D21" s="5"/>
      <c r="E21" s="5"/>
      <c r="F21" s="5"/>
      <c r="G21" s="0"/>
      <c r="H21" s="5"/>
      <c r="I21" s="5"/>
      <c r="J21" s="5"/>
      <c r="K21" s="5"/>
      <c r="L21" s="6"/>
      <c r="M21" s="3"/>
      <c r="N21" s="4" t="str">
        <f>IF(OR(O21="",P21="",R21=""),"",ABS(O21-P21)*R21)</f>
        <v/>
      </c>
      <c r="O21" s="4"/>
      <c r="P21" s="4"/>
      <c r="Q21" s="4"/>
      <c r="R21" s="0"/>
      <c r="S21" s="4" t="str">
        <f>IF(OR(O21="",Q21="",R21=""),"",IF(F21="Long",(Q21-O21)*R21,(O21-Q21)*R21))</f>
        <v/>
      </c>
      <c r="T21" s="4"/>
      <c r="U21" s="4" t="str">
        <f>IF(S21="","",S21-T21)</f>
        <v/>
      </c>
      <c r="V21" s="6" t="str">
        <f>IF(OR(N21="",N21=0,U21=""),"",U21/N21)</f>
        <v/>
      </c>
      <c r="W21" s="5" t="str">
        <f>IF(U21="","",IF(U21&gt;0,"Win",IF(U21&lt;0,"Loss","BE")))</f>
        <v/>
      </c>
      <c r="X21" s="5"/>
      <c r="Y21" s="5"/>
      <c r="Z21" s="5"/>
      <c r="AA21" s="5"/>
      <c r="AB21" s="5"/>
      <c r="AC21" s="5"/>
      <c r="AD21" s="5" t="str">
        <f>IF(OR(X21="",Y21=""),"",IF(AND(X21&gt;=5,Y21="N"),"Y","N"))</f>
        <v/>
      </c>
      <c r="AE21" s="0"/>
      <c r="AF21" s="0"/>
    </row>
    <row r="22" ht="20">
      <c r="A22" s="5"/>
      <c r="B22" s="2"/>
      <c r="C22" s="5" t="str">
        <f>IF(B22="","",TEXT(B22,"ddd"))</f>
        <v/>
      </c>
      <c r="D22" s="5"/>
      <c r="E22" s="5"/>
      <c r="F22" s="5"/>
      <c r="G22" s="0"/>
      <c r="H22" s="5"/>
      <c r="I22" s="5"/>
      <c r="J22" s="5"/>
      <c r="K22" s="5"/>
      <c r="L22" s="6"/>
      <c r="M22" s="3"/>
      <c r="N22" s="4" t="str">
        <f>IF(OR(O22="",P22="",R22=""),"",ABS(O22-P22)*R22)</f>
        <v/>
      </c>
      <c r="O22" s="4"/>
      <c r="P22" s="4"/>
      <c r="Q22" s="4"/>
      <c r="R22" s="0"/>
      <c r="S22" s="4" t="str">
        <f>IF(OR(O22="",Q22="",R22=""),"",IF(F22="Long",(Q22-O22)*R22,(O22-Q22)*R22))</f>
        <v/>
      </c>
      <c r="T22" s="4"/>
      <c r="U22" s="4" t="str">
        <f>IF(S22="","",S22-T22)</f>
        <v/>
      </c>
      <c r="V22" s="6" t="str">
        <f>IF(OR(N22="",N22=0,U22=""),"",U22/N22)</f>
        <v/>
      </c>
      <c r="W22" s="5" t="str">
        <f>IF(U22="","",IF(U22&gt;0,"Win",IF(U22&lt;0,"Loss","BE")))</f>
        <v/>
      </c>
      <c r="X22" s="5"/>
      <c r="Y22" s="5"/>
      <c r="Z22" s="5"/>
      <c r="AA22" s="5"/>
      <c r="AB22" s="5"/>
      <c r="AC22" s="5"/>
      <c r="AD22" s="5" t="str">
        <f>IF(OR(X22="",Y22=""),"",IF(AND(X22&gt;=5,Y22="N"),"Y","N"))</f>
        <v/>
      </c>
      <c r="AE22" s="0"/>
      <c r="AF22" s="0"/>
    </row>
    <row r="23" ht="20">
      <c r="A23" s="5"/>
      <c r="B23" s="2"/>
      <c r="C23" s="5" t="str">
        <f>IF(B23="","",TEXT(B23,"ddd"))</f>
        <v/>
      </c>
      <c r="D23" s="5"/>
      <c r="E23" s="5"/>
      <c r="F23" s="5"/>
      <c r="G23" s="0"/>
      <c r="H23" s="5"/>
      <c r="I23" s="5"/>
      <c r="J23" s="5"/>
      <c r="K23" s="5"/>
      <c r="L23" s="6"/>
      <c r="M23" s="3"/>
      <c r="N23" s="4" t="str">
        <f>IF(OR(O23="",P23="",R23=""),"",ABS(O23-P23)*R23)</f>
        <v/>
      </c>
      <c r="O23" s="4"/>
      <c r="P23" s="4"/>
      <c r="Q23" s="4"/>
      <c r="R23" s="0"/>
      <c r="S23" s="4" t="str">
        <f>IF(OR(O23="",Q23="",R23=""),"",IF(F23="Long",(Q23-O23)*R23,(O23-Q23)*R23))</f>
        <v/>
      </c>
      <c r="T23" s="4"/>
      <c r="U23" s="4" t="str">
        <f>IF(S23="","",S23-T23)</f>
        <v/>
      </c>
      <c r="V23" s="6" t="str">
        <f>IF(OR(N23="",N23=0,U23=""),"",U23/N23)</f>
        <v/>
      </c>
      <c r="W23" s="5" t="str">
        <f>IF(U23="","",IF(U23&gt;0,"Win",IF(U23&lt;0,"Loss","BE")))</f>
        <v/>
      </c>
      <c r="X23" s="5"/>
      <c r="Y23" s="5"/>
      <c r="Z23" s="5"/>
      <c r="AA23" s="5"/>
      <c r="AB23" s="5"/>
      <c r="AC23" s="5"/>
      <c r="AD23" s="5" t="str">
        <f>IF(OR(X23="",Y23=""),"",IF(AND(X23&gt;=5,Y23="N"),"Y","N"))</f>
        <v/>
      </c>
      <c r="AE23" s="0"/>
      <c r="AF23" s="0"/>
    </row>
    <row r="24" ht="20">
      <c r="A24" s="5"/>
      <c r="B24" s="2"/>
      <c r="C24" s="5" t="str">
        <f>IF(B24="","",TEXT(B24,"ddd"))</f>
        <v/>
      </c>
      <c r="D24" s="5"/>
      <c r="E24" s="5"/>
      <c r="F24" s="5"/>
      <c r="G24" s="0"/>
      <c r="H24" s="5"/>
      <c r="I24" s="5"/>
      <c r="J24" s="5"/>
      <c r="K24" s="5"/>
      <c r="L24" s="6"/>
      <c r="M24" s="3"/>
      <c r="N24" s="4" t="str">
        <f>IF(OR(O24="",P24="",R24=""),"",ABS(O24-P24)*R24)</f>
        <v/>
      </c>
      <c r="O24" s="4"/>
      <c r="P24" s="4"/>
      <c r="Q24" s="4"/>
      <c r="R24" s="0"/>
      <c r="S24" s="4" t="str">
        <f>IF(OR(O24="",Q24="",R24=""),"",IF(F24="Long",(Q24-O24)*R24,(O24-Q24)*R24))</f>
        <v/>
      </c>
      <c r="T24" s="4"/>
      <c r="U24" s="4" t="str">
        <f>IF(S24="","",S24-T24)</f>
        <v/>
      </c>
      <c r="V24" s="6" t="str">
        <f>IF(OR(N24="",N24=0,U24=""),"",U24/N24)</f>
        <v/>
      </c>
      <c r="W24" s="5" t="str">
        <f>IF(U24="","",IF(U24&gt;0,"Win",IF(U24&lt;0,"Loss","BE")))</f>
        <v/>
      </c>
      <c r="X24" s="5"/>
      <c r="Y24" s="5"/>
      <c r="Z24" s="5"/>
      <c r="AA24" s="5"/>
      <c r="AB24" s="5"/>
      <c r="AC24" s="5"/>
      <c r="AD24" s="5" t="str">
        <f>IF(OR(X24="",Y24=""),"",IF(AND(X24&gt;=5,Y24="N"),"Y","N"))</f>
        <v/>
      </c>
      <c r="AE24" s="0"/>
      <c r="AF24" s="0"/>
    </row>
    <row r="25" ht="20">
      <c r="A25" s="5"/>
      <c r="B25" s="2"/>
      <c r="C25" s="5" t="str">
        <f>IF(B25="","",TEXT(B25,"ddd"))</f>
        <v/>
      </c>
      <c r="D25" s="5"/>
      <c r="E25" s="5"/>
      <c r="F25" s="5"/>
      <c r="G25" s="0"/>
      <c r="H25" s="5"/>
      <c r="I25" s="5"/>
      <c r="J25" s="5"/>
      <c r="K25" s="5"/>
      <c r="L25" s="6"/>
      <c r="M25" s="3"/>
      <c r="N25" s="4" t="str">
        <f>IF(OR(O25="",P25="",R25=""),"",ABS(O25-P25)*R25)</f>
        <v/>
      </c>
      <c r="O25" s="4"/>
      <c r="P25" s="4"/>
      <c r="Q25" s="4"/>
      <c r="R25" s="0"/>
      <c r="S25" s="4" t="str">
        <f>IF(OR(O25="",Q25="",R25=""),"",IF(F25="Long",(Q25-O25)*R25,(O25-Q25)*R25))</f>
        <v/>
      </c>
      <c r="T25" s="4"/>
      <c r="U25" s="4" t="str">
        <f>IF(S25="","",S25-T25)</f>
        <v/>
      </c>
      <c r="V25" s="6" t="str">
        <f>IF(OR(N25="",N25=0,U25=""),"",U25/N25)</f>
        <v/>
      </c>
      <c r="W25" s="5" t="str">
        <f>IF(U25="","",IF(U25&gt;0,"Win",IF(U25&lt;0,"Loss","BE")))</f>
        <v/>
      </c>
      <c r="X25" s="5"/>
      <c r="Y25" s="5"/>
      <c r="Z25" s="5"/>
      <c r="AA25" s="5"/>
      <c r="AB25" s="5"/>
      <c r="AC25" s="5"/>
      <c r="AD25" s="5" t="str">
        <f>IF(OR(X25="",Y25=""),"",IF(AND(X25&gt;=5,Y25="N"),"Y","N"))</f>
        <v/>
      </c>
      <c r="AE25" s="0"/>
      <c r="AF25" s="0"/>
    </row>
    <row r="26" ht="20">
      <c r="A26" s="5"/>
      <c r="B26" s="2"/>
      <c r="C26" s="5" t="str">
        <f>IF(B26="","",TEXT(B26,"ddd"))</f>
        <v/>
      </c>
      <c r="D26" s="5"/>
      <c r="E26" s="5"/>
      <c r="F26" s="5"/>
      <c r="G26" s="0"/>
      <c r="H26" s="5"/>
      <c r="I26" s="5"/>
      <c r="J26" s="5"/>
      <c r="K26" s="5"/>
      <c r="L26" s="6"/>
      <c r="M26" s="3"/>
      <c r="N26" s="4" t="str">
        <f>IF(OR(O26="",P26="",R26=""),"",ABS(O26-P26)*R26)</f>
        <v/>
      </c>
      <c r="O26" s="4"/>
      <c r="P26" s="4"/>
      <c r="Q26" s="4"/>
      <c r="R26" s="0"/>
      <c r="S26" s="4" t="str">
        <f>IF(OR(O26="",Q26="",R26=""),"",IF(F26="Long",(Q26-O26)*R26,(O26-Q26)*R26))</f>
        <v/>
      </c>
      <c r="T26" s="4"/>
      <c r="U26" s="4" t="str">
        <f>IF(S26="","",S26-T26)</f>
        <v/>
      </c>
      <c r="V26" s="6" t="str">
        <f>IF(OR(N26="",N26=0,U26=""),"",U26/N26)</f>
        <v/>
      </c>
      <c r="W26" s="5" t="str">
        <f>IF(U26="","",IF(U26&gt;0,"Win",IF(U26&lt;0,"Loss","BE")))</f>
        <v/>
      </c>
      <c r="X26" s="5"/>
      <c r="Y26" s="5"/>
      <c r="Z26" s="5"/>
      <c r="AA26" s="5"/>
      <c r="AB26" s="5"/>
      <c r="AC26" s="5"/>
      <c r="AD26" s="5" t="str">
        <f>IF(OR(X26="",Y26=""),"",IF(AND(X26&gt;=5,Y26="N"),"Y","N"))</f>
        <v/>
      </c>
      <c r="AE26" s="0"/>
      <c r="AF26" s="0"/>
    </row>
    <row r="27" ht="20">
      <c r="A27" s="5"/>
      <c r="B27" s="2"/>
      <c r="C27" s="5" t="str">
        <f>IF(B27="","",TEXT(B27,"ddd"))</f>
        <v/>
      </c>
      <c r="D27" s="5"/>
      <c r="E27" s="5"/>
      <c r="F27" s="5"/>
      <c r="G27" s="0"/>
      <c r="H27" s="5"/>
      <c r="I27" s="5"/>
      <c r="J27" s="5"/>
      <c r="K27" s="5"/>
      <c r="L27" s="6"/>
      <c r="M27" s="3"/>
      <c r="N27" s="4" t="str">
        <f>IF(OR(O27="",P27="",R27=""),"",ABS(O27-P27)*R27)</f>
        <v/>
      </c>
      <c r="O27" s="4"/>
      <c r="P27" s="4"/>
      <c r="Q27" s="4"/>
      <c r="R27" s="0"/>
      <c r="S27" s="4" t="str">
        <f>IF(OR(O27="",Q27="",R27=""),"",IF(F27="Long",(Q27-O27)*R27,(O27-Q27)*R27))</f>
        <v/>
      </c>
      <c r="T27" s="4"/>
      <c r="U27" s="4" t="str">
        <f>IF(S27="","",S27-T27)</f>
        <v/>
      </c>
      <c r="V27" s="6" t="str">
        <f>IF(OR(N27="",N27=0,U27=""),"",U27/N27)</f>
        <v/>
      </c>
      <c r="W27" s="5" t="str">
        <f>IF(U27="","",IF(U27&gt;0,"Win",IF(U27&lt;0,"Loss","BE")))</f>
        <v/>
      </c>
      <c r="X27" s="5"/>
      <c r="Y27" s="5"/>
      <c r="Z27" s="5"/>
      <c r="AA27" s="5"/>
      <c r="AB27" s="5"/>
      <c r="AC27" s="5"/>
      <c r="AD27" s="5" t="str">
        <f>IF(OR(X27="",Y27=""),"",IF(AND(X27&gt;=5,Y27="N"),"Y","N"))</f>
        <v/>
      </c>
      <c r="AE27" s="0"/>
      <c r="AF27" s="0"/>
    </row>
    <row r="28" ht="20">
      <c r="A28" s="5"/>
      <c r="B28" s="2"/>
      <c r="C28" s="5" t="str">
        <f>IF(B28="","",TEXT(B28,"ddd"))</f>
        <v/>
      </c>
      <c r="D28" s="5"/>
      <c r="E28" s="5"/>
      <c r="F28" s="5"/>
      <c r="G28" s="0"/>
      <c r="H28" s="5"/>
      <c r="I28" s="5"/>
      <c r="J28" s="5"/>
      <c r="K28" s="5"/>
      <c r="L28" s="6"/>
      <c r="M28" s="3"/>
      <c r="N28" s="4" t="str">
        <f>IF(OR(O28="",P28="",R28=""),"",ABS(O28-P28)*R28)</f>
        <v/>
      </c>
      <c r="O28" s="4"/>
      <c r="P28" s="4"/>
      <c r="Q28" s="4"/>
      <c r="R28" s="0"/>
      <c r="S28" s="4" t="str">
        <f>IF(OR(O28="",Q28="",R28=""),"",IF(F28="Long",(Q28-O28)*R28,(O28-Q28)*R28))</f>
        <v/>
      </c>
      <c r="T28" s="4"/>
      <c r="U28" s="4" t="str">
        <f>IF(S28="","",S28-T28)</f>
        <v/>
      </c>
      <c r="V28" s="6" t="str">
        <f>IF(OR(N28="",N28=0,U28=""),"",U28/N28)</f>
        <v/>
      </c>
      <c r="W28" s="5" t="str">
        <f>IF(U28="","",IF(U28&gt;0,"Win",IF(U28&lt;0,"Loss","BE")))</f>
        <v/>
      </c>
      <c r="X28" s="5"/>
      <c r="Y28" s="5"/>
      <c r="Z28" s="5"/>
      <c r="AA28" s="5"/>
      <c r="AB28" s="5"/>
      <c r="AC28" s="5"/>
      <c r="AD28" s="5" t="str">
        <f>IF(OR(X28="",Y28=""),"",IF(AND(X28&gt;=5,Y28="N"),"Y","N"))</f>
        <v/>
      </c>
      <c r="AE28" s="0"/>
      <c r="AF28" s="0"/>
    </row>
    <row r="29" ht="20">
      <c r="A29" s="5"/>
      <c r="B29" s="2"/>
      <c r="C29" s="5" t="str">
        <f>IF(B29="","",TEXT(B29,"ddd"))</f>
        <v/>
      </c>
      <c r="D29" s="5"/>
      <c r="E29" s="5"/>
      <c r="F29" s="5"/>
      <c r="G29" s="0"/>
      <c r="H29" s="5"/>
      <c r="I29" s="5"/>
      <c r="J29" s="5"/>
      <c r="K29" s="5"/>
      <c r="L29" s="6"/>
      <c r="M29" s="3"/>
      <c r="N29" s="4" t="str">
        <f>IF(OR(O29="",P29="",R29=""),"",ABS(O29-P29)*R29)</f>
        <v/>
      </c>
      <c r="O29" s="4"/>
      <c r="P29" s="4"/>
      <c r="Q29" s="4"/>
      <c r="R29" s="0"/>
      <c r="S29" s="4" t="str">
        <f>IF(OR(O29="",Q29="",R29=""),"",IF(F29="Long",(Q29-O29)*R29,(O29-Q29)*R29))</f>
        <v/>
      </c>
      <c r="T29" s="4"/>
      <c r="U29" s="4" t="str">
        <f>IF(S29="","",S29-T29)</f>
        <v/>
      </c>
      <c r="V29" s="6" t="str">
        <f>IF(OR(N29="",N29=0,U29=""),"",U29/N29)</f>
        <v/>
      </c>
      <c r="W29" s="5" t="str">
        <f>IF(U29="","",IF(U29&gt;0,"Win",IF(U29&lt;0,"Loss","BE")))</f>
        <v/>
      </c>
      <c r="X29" s="5"/>
      <c r="Y29" s="5"/>
      <c r="Z29" s="5"/>
      <c r="AA29" s="5"/>
      <c r="AB29" s="5"/>
      <c r="AC29" s="5"/>
      <c r="AD29" s="5" t="str">
        <f>IF(OR(X29="",Y29=""),"",IF(AND(X29&gt;=5,Y29="N"),"Y","N"))</f>
        <v/>
      </c>
      <c r="AE29" s="0"/>
      <c r="AF29" s="0"/>
    </row>
    <row r="30" ht="20">
      <c r="A30" s="5"/>
      <c r="B30" s="2"/>
      <c r="C30" s="5" t="str">
        <f>IF(B30="","",TEXT(B30,"ddd"))</f>
        <v/>
      </c>
      <c r="D30" s="5"/>
      <c r="E30" s="5"/>
      <c r="F30" s="5"/>
      <c r="G30" s="0"/>
      <c r="H30" s="5"/>
      <c r="I30" s="5"/>
      <c r="J30" s="5"/>
      <c r="K30" s="5"/>
      <c r="L30" s="6"/>
      <c r="M30" s="3"/>
      <c r="N30" s="4" t="str">
        <f>IF(OR(O30="",P30="",R30=""),"",ABS(O30-P30)*R30)</f>
        <v/>
      </c>
      <c r="O30" s="4"/>
      <c r="P30" s="4"/>
      <c r="Q30" s="4"/>
      <c r="R30" s="0"/>
      <c r="S30" s="4" t="str">
        <f>IF(OR(O30="",Q30="",R30=""),"",IF(F30="Long",(Q30-O30)*R30,(O30-Q30)*R30))</f>
        <v/>
      </c>
      <c r="T30" s="4"/>
      <c r="U30" s="4" t="str">
        <f>IF(S30="","",S30-T30)</f>
        <v/>
      </c>
      <c r="V30" s="6" t="str">
        <f>IF(OR(N30="",N30=0,U30=""),"",U30/N30)</f>
        <v/>
      </c>
      <c r="W30" s="5" t="str">
        <f>IF(U30="","",IF(U30&gt;0,"Win",IF(U30&lt;0,"Loss","BE")))</f>
        <v/>
      </c>
      <c r="X30" s="5"/>
      <c r="Y30" s="5"/>
      <c r="Z30" s="5"/>
      <c r="AA30" s="5"/>
      <c r="AB30" s="5"/>
      <c r="AC30" s="5"/>
      <c r="AD30" s="5" t="str">
        <f>IF(OR(X30="",Y30=""),"",IF(AND(X30&gt;=5,Y30="N"),"Y","N"))</f>
        <v/>
      </c>
      <c r="AE30" s="0"/>
      <c r="AF30" s="0"/>
    </row>
    <row r="31" ht="20">
      <c r="A31" s="5"/>
      <c r="B31" s="2"/>
      <c r="C31" s="5" t="str">
        <f>IF(B31="","",TEXT(B31,"ddd"))</f>
        <v/>
      </c>
      <c r="D31" s="5"/>
      <c r="E31" s="5"/>
      <c r="F31" s="5"/>
      <c r="G31" s="0"/>
      <c r="H31" s="5"/>
      <c r="I31" s="5"/>
      <c r="J31" s="5"/>
      <c r="K31" s="5"/>
      <c r="L31" s="6"/>
      <c r="M31" s="3"/>
      <c r="N31" s="4" t="str">
        <f>IF(OR(O31="",P31="",R31=""),"",ABS(O31-P31)*R31)</f>
        <v/>
      </c>
      <c r="O31" s="4"/>
      <c r="P31" s="4"/>
      <c r="Q31" s="4"/>
      <c r="R31" s="0"/>
      <c r="S31" s="4" t="str">
        <f>IF(OR(O31="",Q31="",R31=""),"",IF(F31="Long",(Q31-O31)*R31,(O31-Q31)*R31))</f>
        <v/>
      </c>
      <c r="T31" s="4"/>
      <c r="U31" s="4" t="str">
        <f>IF(S31="","",S31-T31)</f>
        <v/>
      </c>
      <c r="V31" s="6" t="str">
        <f>IF(OR(N31="",N31=0,U31=""),"",U31/N31)</f>
        <v/>
      </c>
      <c r="W31" s="5" t="str">
        <f>IF(U31="","",IF(U31&gt;0,"Win",IF(U31&lt;0,"Loss","BE")))</f>
        <v/>
      </c>
      <c r="X31" s="5"/>
      <c r="Y31" s="5"/>
      <c r="Z31" s="5"/>
      <c r="AA31" s="5"/>
      <c r="AB31" s="5"/>
      <c r="AC31" s="5"/>
      <c r="AD31" s="5" t="str">
        <f>IF(OR(X31="",Y31=""),"",IF(AND(X31&gt;=5,Y31="N"),"Y","N"))</f>
        <v/>
      </c>
      <c r="AE31" s="0"/>
      <c r="AF31" s="0"/>
    </row>
    <row r="32" ht="20">
      <c r="A32" s="5"/>
      <c r="B32" s="2"/>
      <c r="C32" s="5" t="str">
        <f>IF(B32="","",TEXT(B32,"ddd"))</f>
        <v/>
      </c>
      <c r="D32" s="5"/>
      <c r="E32" s="5"/>
      <c r="F32" s="5"/>
      <c r="G32" s="0"/>
      <c r="H32" s="5"/>
      <c r="I32" s="5"/>
      <c r="J32" s="5"/>
      <c r="K32" s="5"/>
      <c r="L32" s="6"/>
      <c r="M32" s="3"/>
      <c r="N32" s="4" t="str">
        <f>IF(OR(O32="",P32="",R32=""),"",ABS(O32-P32)*R32)</f>
        <v/>
      </c>
      <c r="O32" s="4"/>
      <c r="P32" s="4"/>
      <c r="Q32" s="4"/>
      <c r="R32" s="0"/>
      <c r="S32" s="4" t="str">
        <f>IF(OR(O32="",Q32="",R32=""),"",IF(F32="Long",(Q32-O32)*R32,(O32-Q32)*R32))</f>
        <v/>
      </c>
      <c r="T32" s="4"/>
      <c r="U32" s="4" t="str">
        <f>IF(S32="","",S32-T32)</f>
        <v/>
      </c>
      <c r="V32" s="6" t="str">
        <f>IF(OR(N32="",N32=0,U32=""),"",U32/N32)</f>
        <v/>
      </c>
      <c r="W32" s="5" t="str">
        <f>IF(U32="","",IF(U32&gt;0,"Win",IF(U32&lt;0,"Loss","BE")))</f>
        <v/>
      </c>
      <c r="X32" s="5"/>
      <c r="Y32" s="5"/>
      <c r="Z32" s="5"/>
      <c r="AA32" s="5"/>
      <c r="AB32" s="5"/>
      <c r="AC32" s="5"/>
      <c r="AD32" s="5" t="str">
        <f>IF(OR(X32="",Y32=""),"",IF(AND(X32&gt;=5,Y32="N"),"Y","N"))</f>
        <v/>
      </c>
      <c r="AE32" s="0"/>
      <c r="AF32" s="0"/>
    </row>
    <row r="33" ht="20">
      <c r="A33" s="5"/>
      <c r="B33" s="2"/>
      <c r="C33" s="5" t="str">
        <f>IF(B33="","",TEXT(B33,"ddd"))</f>
        <v/>
      </c>
      <c r="D33" s="5"/>
      <c r="E33" s="5"/>
      <c r="F33" s="5"/>
      <c r="G33" s="0"/>
      <c r="H33" s="5"/>
      <c r="I33" s="5"/>
      <c r="J33" s="5"/>
      <c r="K33" s="5"/>
      <c r="L33" s="6"/>
      <c r="M33" s="3"/>
      <c r="N33" s="4" t="str">
        <f>IF(OR(O33="",P33="",R33=""),"",ABS(O33-P33)*R33)</f>
        <v/>
      </c>
      <c r="O33" s="4"/>
      <c r="P33" s="4"/>
      <c r="Q33" s="4"/>
      <c r="R33" s="0"/>
      <c r="S33" s="4" t="str">
        <f>IF(OR(O33="",Q33="",R33=""),"",IF(F33="Long",(Q33-O33)*R33,(O33-Q33)*R33))</f>
        <v/>
      </c>
      <c r="T33" s="4"/>
      <c r="U33" s="4" t="str">
        <f>IF(S33="","",S33-T33)</f>
        <v/>
      </c>
      <c r="V33" s="6" t="str">
        <f>IF(OR(N33="",N33=0,U33=""),"",U33/N33)</f>
        <v/>
      </c>
      <c r="W33" s="5" t="str">
        <f>IF(U33="","",IF(U33&gt;0,"Win",IF(U33&lt;0,"Loss","BE")))</f>
        <v/>
      </c>
      <c r="X33" s="5"/>
      <c r="Y33" s="5"/>
      <c r="Z33" s="5"/>
      <c r="AA33" s="5"/>
      <c r="AB33" s="5"/>
      <c r="AC33" s="5"/>
      <c r="AD33" s="5" t="str">
        <f>IF(OR(X33="",Y33=""),"",IF(AND(X33&gt;=5,Y33="N"),"Y","N"))</f>
        <v/>
      </c>
      <c r="AE33" s="0"/>
      <c r="AF33" s="0"/>
    </row>
    <row r="34" ht="20">
      <c r="A34" s="5"/>
      <c r="B34" s="2"/>
      <c r="C34" s="5" t="str">
        <f>IF(B34="","",TEXT(B34,"ddd"))</f>
        <v/>
      </c>
      <c r="D34" s="5"/>
      <c r="E34" s="5"/>
      <c r="F34" s="5"/>
      <c r="G34" s="0"/>
      <c r="H34" s="5"/>
      <c r="I34" s="5"/>
      <c r="J34" s="5"/>
      <c r="K34" s="5"/>
      <c r="L34" s="6"/>
      <c r="M34" s="3"/>
      <c r="N34" s="4" t="str">
        <f>IF(OR(O34="",P34="",R34=""),"",ABS(O34-P34)*R34)</f>
        <v/>
      </c>
      <c r="O34" s="4"/>
      <c r="P34" s="4"/>
      <c r="Q34" s="4"/>
      <c r="R34" s="0"/>
      <c r="S34" s="4" t="str">
        <f>IF(OR(O34="",Q34="",R34=""),"",IF(F34="Long",(Q34-O34)*R34,(O34-Q34)*R34))</f>
        <v/>
      </c>
      <c r="T34" s="4"/>
      <c r="U34" s="4" t="str">
        <f>IF(S34="","",S34-T34)</f>
        <v/>
      </c>
      <c r="V34" s="6" t="str">
        <f>IF(OR(N34="",N34=0,U34=""),"",U34/N34)</f>
        <v/>
      </c>
      <c r="W34" s="5" t="str">
        <f>IF(U34="","",IF(U34&gt;0,"Win",IF(U34&lt;0,"Loss","BE")))</f>
        <v/>
      </c>
      <c r="X34" s="5"/>
      <c r="Y34" s="5"/>
      <c r="Z34" s="5"/>
      <c r="AA34" s="5"/>
      <c r="AB34" s="5"/>
      <c r="AC34" s="5"/>
      <c r="AD34" s="5" t="str">
        <f>IF(OR(X34="",Y34=""),"",IF(AND(X34&gt;=5,Y34="N"),"Y","N"))</f>
        <v/>
      </c>
      <c r="AE34" s="0"/>
      <c r="AF34" s="0"/>
    </row>
    <row r="35" ht="20">
      <c r="A35" s="5"/>
      <c r="B35" s="2"/>
      <c r="C35" s="5" t="str">
        <f>IF(B35="","",TEXT(B35,"ddd"))</f>
        <v/>
      </c>
      <c r="D35" s="5"/>
      <c r="E35" s="5"/>
      <c r="F35" s="5"/>
      <c r="G35" s="0"/>
      <c r="H35" s="5"/>
      <c r="I35" s="5"/>
      <c r="J35" s="5"/>
      <c r="K35" s="5"/>
      <c r="L35" s="6"/>
      <c r="M35" s="3"/>
      <c r="N35" s="4" t="str">
        <f>IF(OR(O35="",P35="",R35=""),"",ABS(O35-P35)*R35)</f>
        <v/>
      </c>
      <c r="O35" s="4"/>
      <c r="P35" s="4"/>
      <c r="Q35" s="4"/>
      <c r="R35" s="0"/>
      <c r="S35" s="4" t="str">
        <f>IF(OR(O35="",Q35="",R35=""),"",IF(F35="Long",(Q35-O35)*R35,(O35-Q35)*R35))</f>
        <v/>
      </c>
      <c r="T35" s="4"/>
      <c r="U35" s="4" t="str">
        <f>IF(S35="","",S35-T35)</f>
        <v/>
      </c>
      <c r="V35" s="6" t="str">
        <f>IF(OR(N35="",N35=0,U35=""),"",U35/N35)</f>
        <v/>
      </c>
      <c r="W35" s="5" t="str">
        <f>IF(U35="","",IF(U35&gt;0,"Win",IF(U35&lt;0,"Loss","BE")))</f>
        <v/>
      </c>
      <c r="X35" s="5"/>
      <c r="Y35" s="5"/>
      <c r="Z35" s="5"/>
      <c r="AA35" s="5"/>
      <c r="AB35" s="5"/>
      <c r="AC35" s="5"/>
      <c r="AD35" s="5" t="str">
        <f>IF(OR(X35="",Y35=""),"",IF(AND(X35&gt;=5,Y35="N"),"Y","N"))</f>
        <v/>
      </c>
      <c r="AE35" s="0"/>
      <c r="AF35" s="0"/>
    </row>
    <row r="36" ht="20">
      <c r="A36" s="5"/>
      <c r="B36" s="2"/>
      <c r="C36" s="5" t="str">
        <f>IF(B36="","",TEXT(B36,"ddd"))</f>
        <v/>
      </c>
      <c r="D36" s="5"/>
      <c r="E36" s="5"/>
      <c r="F36" s="5"/>
      <c r="G36" s="0"/>
      <c r="H36" s="5"/>
      <c r="I36" s="5"/>
      <c r="J36" s="5"/>
      <c r="K36" s="5"/>
      <c r="L36" s="6"/>
      <c r="M36" s="3"/>
      <c r="N36" s="4" t="str">
        <f>IF(OR(O36="",P36="",R36=""),"",ABS(O36-P36)*R36)</f>
        <v/>
      </c>
      <c r="O36" s="4"/>
      <c r="P36" s="4"/>
      <c r="Q36" s="4"/>
      <c r="R36" s="0"/>
      <c r="S36" s="4" t="str">
        <f>IF(OR(O36="",Q36="",R36=""),"",IF(F36="Long",(Q36-O36)*R36,(O36-Q36)*R36))</f>
        <v/>
      </c>
      <c r="T36" s="4"/>
      <c r="U36" s="4" t="str">
        <f>IF(S36="","",S36-T36)</f>
        <v/>
      </c>
      <c r="V36" s="6" t="str">
        <f>IF(OR(N36="",N36=0,U36=""),"",U36/N36)</f>
        <v/>
      </c>
      <c r="W36" s="5" t="str">
        <f>IF(U36="","",IF(U36&gt;0,"Win",IF(U36&lt;0,"Loss","BE")))</f>
        <v/>
      </c>
      <c r="X36" s="5"/>
      <c r="Y36" s="5"/>
      <c r="Z36" s="5"/>
      <c r="AA36" s="5"/>
      <c r="AB36" s="5"/>
      <c r="AC36" s="5"/>
      <c r="AD36" s="5" t="str">
        <f>IF(OR(X36="",Y36=""),"",IF(AND(X36&gt;=5,Y36="N"),"Y","N"))</f>
        <v/>
      </c>
      <c r="AE36" s="0"/>
      <c r="AF36" s="0"/>
    </row>
    <row r="37" ht="20">
      <c r="A37" s="5"/>
      <c r="B37" s="2"/>
      <c r="C37" s="5" t="str">
        <f>IF(B37="","",TEXT(B37,"ddd"))</f>
        <v/>
      </c>
      <c r="D37" s="5"/>
      <c r="E37" s="5"/>
      <c r="F37" s="5"/>
      <c r="G37" s="0"/>
      <c r="H37" s="5"/>
      <c r="I37" s="5"/>
      <c r="J37" s="5"/>
      <c r="K37" s="5"/>
      <c r="L37" s="6"/>
      <c r="M37" s="3"/>
      <c r="N37" s="4" t="str">
        <f>IF(OR(O37="",P37="",R37=""),"",ABS(O37-P37)*R37)</f>
        <v/>
      </c>
      <c r="O37" s="4"/>
      <c r="P37" s="4"/>
      <c r="Q37" s="4"/>
      <c r="R37" s="0"/>
      <c r="S37" s="4" t="str">
        <f>IF(OR(O37="",Q37="",R37=""),"",IF(F37="Long",(Q37-O37)*R37,(O37-Q37)*R37))</f>
        <v/>
      </c>
      <c r="T37" s="4"/>
      <c r="U37" s="4" t="str">
        <f>IF(S37="","",S37-T37)</f>
        <v/>
      </c>
      <c r="V37" s="6" t="str">
        <f>IF(OR(N37="",N37=0,U37=""),"",U37/N37)</f>
        <v/>
      </c>
      <c r="W37" s="5" t="str">
        <f>IF(U37="","",IF(U37&gt;0,"Win",IF(U37&lt;0,"Loss","BE")))</f>
        <v/>
      </c>
      <c r="X37" s="5"/>
      <c r="Y37" s="5"/>
      <c r="Z37" s="5"/>
      <c r="AA37" s="5"/>
      <c r="AB37" s="5"/>
      <c r="AC37" s="5"/>
      <c r="AD37" s="5" t="str">
        <f>IF(OR(X37="",Y37=""),"",IF(AND(X37&gt;=5,Y37="N"),"Y","N"))</f>
        <v/>
      </c>
      <c r="AE37" s="0"/>
      <c r="AF37" s="0"/>
    </row>
    <row r="38" ht="20">
      <c r="A38" s="5"/>
      <c r="B38" s="2"/>
      <c r="C38" s="5" t="str">
        <f>IF(B38="","",TEXT(B38,"ddd"))</f>
        <v/>
      </c>
      <c r="D38" s="5"/>
      <c r="E38" s="5"/>
      <c r="F38" s="5"/>
      <c r="G38" s="0"/>
      <c r="H38" s="5"/>
      <c r="I38" s="5"/>
      <c r="J38" s="5"/>
      <c r="K38" s="5"/>
      <c r="L38" s="6"/>
      <c r="M38" s="3"/>
      <c r="N38" s="4" t="str">
        <f>IF(OR(O38="",P38="",R38=""),"",ABS(O38-P38)*R38)</f>
        <v/>
      </c>
      <c r="O38" s="4"/>
      <c r="P38" s="4"/>
      <c r="Q38" s="4"/>
      <c r="R38" s="0"/>
      <c r="S38" s="4" t="str">
        <f>IF(OR(O38="",Q38="",R38=""),"",IF(F38="Long",(Q38-O38)*R38,(O38-Q38)*R38))</f>
        <v/>
      </c>
      <c r="T38" s="4"/>
      <c r="U38" s="4" t="str">
        <f>IF(S38="","",S38-T38)</f>
        <v/>
      </c>
      <c r="V38" s="6" t="str">
        <f>IF(OR(N38="",N38=0,U38=""),"",U38/N38)</f>
        <v/>
      </c>
      <c r="W38" s="5" t="str">
        <f>IF(U38="","",IF(U38&gt;0,"Win",IF(U38&lt;0,"Loss","BE")))</f>
        <v/>
      </c>
      <c r="X38" s="5"/>
      <c r="Y38" s="5"/>
      <c r="Z38" s="5"/>
      <c r="AA38" s="5"/>
      <c r="AB38" s="5"/>
      <c r="AC38" s="5"/>
      <c r="AD38" s="5" t="str">
        <f>IF(OR(X38="",Y38=""),"",IF(AND(X38&gt;=5,Y38="N"),"Y","N"))</f>
        <v/>
      </c>
      <c r="AE38" s="0"/>
      <c r="AF38" s="0"/>
    </row>
    <row r="39" ht="20">
      <c r="A39" s="5"/>
      <c r="B39" s="2"/>
      <c r="C39" s="5" t="str">
        <f>IF(B39="","",TEXT(B39,"ddd"))</f>
        <v/>
      </c>
      <c r="D39" s="5"/>
      <c r="E39" s="5"/>
      <c r="F39" s="5"/>
      <c r="G39" s="0"/>
      <c r="H39" s="5"/>
      <c r="I39" s="5"/>
      <c r="J39" s="5"/>
      <c r="K39" s="5"/>
      <c r="L39" s="6"/>
      <c r="M39" s="3"/>
      <c r="N39" s="4" t="str">
        <f>IF(OR(O39="",P39="",R39=""),"",ABS(O39-P39)*R39)</f>
        <v/>
      </c>
      <c r="O39" s="4"/>
      <c r="P39" s="4"/>
      <c r="Q39" s="4"/>
      <c r="R39" s="0"/>
      <c r="S39" s="4" t="str">
        <f>IF(OR(O39="",Q39="",R39=""),"",IF(F39="Long",(Q39-O39)*R39,(O39-Q39)*R39))</f>
        <v/>
      </c>
      <c r="T39" s="4"/>
      <c r="U39" s="4" t="str">
        <f>IF(S39="","",S39-T39)</f>
        <v/>
      </c>
      <c r="V39" s="6" t="str">
        <f>IF(OR(N39="",N39=0,U39=""),"",U39/N39)</f>
        <v/>
      </c>
      <c r="W39" s="5" t="str">
        <f>IF(U39="","",IF(U39&gt;0,"Win",IF(U39&lt;0,"Loss","BE")))</f>
        <v/>
      </c>
      <c r="X39" s="5"/>
      <c r="Y39" s="5"/>
      <c r="Z39" s="5"/>
      <c r="AA39" s="5"/>
      <c r="AB39" s="5"/>
      <c r="AC39" s="5"/>
      <c r="AD39" s="5" t="str">
        <f>IF(OR(X39="",Y39=""),"",IF(AND(X39&gt;=5,Y39="N"),"Y","N"))</f>
        <v/>
      </c>
      <c r="AE39" s="0"/>
      <c r="AF39" s="0"/>
    </row>
    <row r="40" ht="20">
      <c r="A40" s="5"/>
      <c r="B40" s="2"/>
      <c r="C40" s="5" t="str">
        <f>IF(B40="","",TEXT(B40,"ddd"))</f>
        <v/>
      </c>
      <c r="D40" s="5"/>
      <c r="E40" s="5"/>
      <c r="F40" s="5"/>
      <c r="G40" s="0"/>
      <c r="H40" s="5"/>
      <c r="I40" s="5"/>
      <c r="J40" s="5"/>
      <c r="K40" s="5"/>
      <c r="L40" s="6"/>
      <c r="M40" s="3"/>
      <c r="N40" s="4" t="str">
        <f>IF(OR(O40="",P40="",R40=""),"",ABS(O40-P40)*R40)</f>
        <v/>
      </c>
      <c r="O40" s="4"/>
      <c r="P40" s="4"/>
      <c r="Q40" s="4"/>
      <c r="R40" s="0"/>
      <c r="S40" s="4" t="str">
        <f>IF(OR(O40="",Q40="",R40=""),"",IF(F40="Long",(Q40-O40)*R40,(O40-Q40)*R40))</f>
        <v/>
      </c>
      <c r="T40" s="4"/>
      <c r="U40" s="4" t="str">
        <f>IF(S40="","",S40-T40)</f>
        <v/>
      </c>
      <c r="V40" s="6" t="str">
        <f>IF(OR(N40="",N40=0,U40=""),"",U40/N40)</f>
        <v/>
      </c>
      <c r="W40" s="5" t="str">
        <f>IF(U40="","",IF(U40&gt;0,"Win",IF(U40&lt;0,"Loss","BE")))</f>
        <v/>
      </c>
      <c r="X40" s="5"/>
      <c r="Y40" s="5"/>
      <c r="Z40" s="5"/>
      <c r="AA40" s="5"/>
      <c r="AB40" s="5"/>
      <c r="AC40" s="5"/>
      <c r="AD40" s="5" t="str">
        <f>IF(OR(X40="",Y40=""),"",IF(AND(X40&gt;=5,Y40="N"),"Y","N"))</f>
        <v/>
      </c>
      <c r="AE40" s="0"/>
      <c r="AF40" s="0"/>
    </row>
    <row r="41" ht="20">
      <c r="A41" s="5"/>
      <c r="B41" s="2"/>
      <c r="C41" s="5" t="str">
        <f>IF(B41="","",TEXT(B41,"ddd"))</f>
        <v/>
      </c>
      <c r="D41" s="5"/>
      <c r="E41" s="5"/>
      <c r="F41" s="5"/>
      <c r="G41" s="0"/>
      <c r="H41" s="5"/>
      <c r="I41" s="5"/>
      <c r="J41" s="5"/>
      <c r="K41" s="5"/>
      <c r="L41" s="6"/>
      <c r="M41" s="3"/>
      <c r="N41" s="4" t="str">
        <f>IF(OR(O41="",P41="",R41=""),"",ABS(O41-P41)*R41)</f>
        <v/>
      </c>
      <c r="O41" s="4"/>
      <c r="P41" s="4"/>
      <c r="Q41" s="4"/>
      <c r="R41" s="0"/>
      <c r="S41" s="4" t="str">
        <f>IF(OR(O41="",Q41="",R41=""),"",IF(F41="Long",(Q41-O41)*R41,(O41-Q41)*R41))</f>
        <v/>
      </c>
      <c r="T41" s="4"/>
      <c r="U41" s="4" t="str">
        <f>IF(S41="","",S41-T41)</f>
        <v/>
      </c>
      <c r="V41" s="6" t="str">
        <f>IF(OR(N41="",N41=0,U41=""),"",U41/N41)</f>
        <v/>
      </c>
      <c r="W41" s="5" t="str">
        <f>IF(U41="","",IF(U41&gt;0,"Win",IF(U41&lt;0,"Loss","BE")))</f>
        <v/>
      </c>
      <c r="X41" s="5"/>
      <c r="Y41" s="5"/>
      <c r="Z41" s="5"/>
      <c r="AA41" s="5"/>
      <c r="AB41" s="5"/>
      <c r="AC41" s="5"/>
      <c r="AD41" s="5" t="str">
        <f>IF(OR(X41="",Y41=""),"",IF(AND(X41&gt;=5,Y41="N"),"Y","N"))</f>
        <v/>
      </c>
      <c r="AE41" s="0"/>
      <c r="AF41" s="0"/>
    </row>
    <row r="42" ht="20">
      <c r="A42" s="5"/>
      <c r="B42" s="2"/>
      <c r="C42" s="5" t="str">
        <f>IF(B42="","",TEXT(B42,"ddd"))</f>
        <v/>
      </c>
      <c r="D42" s="5"/>
      <c r="E42" s="5"/>
      <c r="F42" s="5"/>
      <c r="G42" s="0"/>
      <c r="H42" s="5"/>
      <c r="I42" s="5"/>
      <c r="J42" s="5"/>
      <c r="K42" s="5"/>
      <c r="L42" s="6"/>
      <c r="M42" s="3"/>
      <c r="N42" s="4" t="str">
        <f>IF(OR(O42="",P42="",R42=""),"",ABS(O42-P42)*R42)</f>
        <v/>
      </c>
      <c r="O42" s="4"/>
      <c r="P42" s="4"/>
      <c r="Q42" s="4"/>
      <c r="R42" s="0"/>
      <c r="S42" s="4" t="str">
        <f>IF(OR(O42="",Q42="",R42=""),"",IF(F42="Long",(Q42-O42)*R42,(O42-Q42)*R42))</f>
        <v/>
      </c>
      <c r="T42" s="4"/>
      <c r="U42" s="4" t="str">
        <f>IF(S42="","",S42-T42)</f>
        <v/>
      </c>
      <c r="V42" s="6" t="str">
        <f>IF(OR(N42="",N42=0,U42=""),"",U42/N42)</f>
        <v/>
      </c>
      <c r="W42" s="5" t="str">
        <f>IF(U42="","",IF(U42&gt;0,"Win",IF(U42&lt;0,"Loss","BE")))</f>
        <v/>
      </c>
      <c r="X42" s="5"/>
      <c r="Y42" s="5"/>
      <c r="Z42" s="5"/>
      <c r="AA42" s="5"/>
      <c r="AB42" s="5"/>
      <c r="AC42" s="5"/>
      <c r="AD42" s="5" t="str">
        <f>IF(OR(X42="",Y42=""),"",IF(AND(X42&gt;=5,Y42="N"),"Y","N"))</f>
        <v/>
      </c>
      <c r="AE42" s="0"/>
      <c r="AF42" s="0"/>
    </row>
    <row r="43" ht="20">
      <c r="A43" s="5"/>
      <c r="B43" s="2"/>
      <c r="C43" s="5" t="str">
        <f>IF(B43="","",TEXT(B43,"ddd"))</f>
        <v/>
      </c>
      <c r="D43" s="5"/>
      <c r="E43" s="5"/>
      <c r="F43" s="5"/>
      <c r="G43" s="0"/>
      <c r="H43" s="5"/>
      <c r="I43" s="5"/>
      <c r="J43" s="5"/>
      <c r="K43" s="5"/>
      <c r="L43" s="6"/>
      <c r="M43" s="3"/>
      <c r="N43" s="4" t="str">
        <f>IF(OR(O43="",P43="",R43=""),"",ABS(O43-P43)*R43)</f>
        <v/>
      </c>
      <c r="O43" s="4"/>
      <c r="P43" s="4"/>
      <c r="Q43" s="4"/>
      <c r="R43" s="0"/>
      <c r="S43" s="4" t="str">
        <f>IF(OR(O43="",Q43="",R43=""),"",IF(F43="Long",(Q43-O43)*R43,(O43-Q43)*R43))</f>
        <v/>
      </c>
      <c r="T43" s="4"/>
      <c r="U43" s="4" t="str">
        <f>IF(S43="","",S43-T43)</f>
        <v/>
      </c>
      <c r="V43" s="6" t="str">
        <f>IF(OR(N43="",N43=0,U43=""),"",U43/N43)</f>
        <v/>
      </c>
      <c r="W43" s="5" t="str">
        <f>IF(U43="","",IF(U43&gt;0,"Win",IF(U43&lt;0,"Loss","BE")))</f>
        <v/>
      </c>
      <c r="X43" s="5"/>
      <c r="Y43" s="5"/>
      <c r="Z43" s="5"/>
      <c r="AA43" s="5"/>
      <c r="AB43" s="5"/>
      <c r="AC43" s="5"/>
      <c r="AD43" s="5" t="str">
        <f>IF(OR(X43="",Y43=""),"",IF(AND(X43&gt;=5,Y43="N"),"Y","N"))</f>
        <v/>
      </c>
      <c r="AE43" s="0"/>
      <c r="AF43" s="0"/>
    </row>
    <row r="44" ht="20">
      <c r="A44" s="5"/>
      <c r="B44" s="2"/>
      <c r="C44" s="5" t="str">
        <f>IF(B44="","",TEXT(B44,"ddd"))</f>
        <v/>
      </c>
      <c r="D44" s="5"/>
      <c r="E44" s="5"/>
      <c r="F44" s="5"/>
      <c r="G44" s="0"/>
      <c r="H44" s="5"/>
      <c r="I44" s="5"/>
      <c r="J44" s="5"/>
      <c r="K44" s="5"/>
      <c r="L44" s="6"/>
      <c r="M44" s="3"/>
      <c r="N44" s="4" t="str">
        <f>IF(OR(O44="",P44="",R44=""),"",ABS(O44-P44)*R44)</f>
        <v/>
      </c>
      <c r="O44" s="4"/>
      <c r="P44" s="4"/>
      <c r="Q44" s="4"/>
      <c r="R44" s="0"/>
      <c r="S44" s="4" t="str">
        <f>IF(OR(O44="",Q44="",R44=""),"",IF(F44="Long",(Q44-O44)*R44,(O44-Q44)*R44))</f>
        <v/>
      </c>
      <c r="T44" s="4"/>
      <c r="U44" s="4" t="str">
        <f>IF(S44="","",S44-T44)</f>
        <v/>
      </c>
      <c r="V44" s="6" t="str">
        <f>IF(OR(N44="",N44=0,U44=""),"",U44/N44)</f>
        <v/>
      </c>
      <c r="W44" s="5" t="str">
        <f>IF(U44="","",IF(U44&gt;0,"Win",IF(U44&lt;0,"Loss","BE")))</f>
        <v/>
      </c>
      <c r="X44" s="5"/>
      <c r="Y44" s="5"/>
      <c r="Z44" s="5"/>
      <c r="AA44" s="5"/>
      <c r="AB44" s="5"/>
      <c r="AC44" s="5"/>
      <c r="AD44" s="5" t="str">
        <f>IF(OR(X44="",Y44=""),"",IF(AND(X44&gt;=5,Y44="N"),"Y","N"))</f>
        <v/>
      </c>
      <c r="AE44" s="0"/>
      <c r="AF44" s="0"/>
    </row>
    <row r="45" ht="20">
      <c r="A45" s="5"/>
      <c r="B45" s="2"/>
      <c r="C45" s="5" t="str">
        <f>IF(B45="","",TEXT(B45,"ddd"))</f>
        <v/>
      </c>
      <c r="D45" s="5"/>
      <c r="E45" s="5"/>
      <c r="F45" s="5"/>
      <c r="G45" s="0"/>
      <c r="H45" s="5"/>
      <c r="I45" s="5"/>
      <c r="J45" s="5"/>
      <c r="K45" s="5"/>
      <c r="L45" s="6"/>
      <c r="M45" s="3"/>
      <c r="N45" s="4" t="str">
        <f>IF(OR(O45="",P45="",R45=""),"",ABS(O45-P45)*R45)</f>
        <v/>
      </c>
      <c r="O45" s="4"/>
      <c r="P45" s="4"/>
      <c r="Q45" s="4"/>
      <c r="R45" s="0"/>
      <c r="S45" s="4" t="str">
        <f>IF(OR(O45="",Q45="",R45=""),"",IF(F45="Long",(Q45-O45)*R45,(O45-Q45)*R45))</f>
        <v/>
      </c>
      <c r="T45" s="4"/>
      <c r="U45" s="4" t="str">
        <f>IF(S45="","",S45-T45)</f>
        <v/>
      </c>
      <c r="V45" s="6" t="str">
        <f>IF(OR(N45="",N45=0,U45=""),"",U45/N45)</f>
        <v/>
      </c>
      <c r="W45" s="5" t="str">
        <f>IF(U45="","",IF(U45&gt;0,"Win",IF(U45&lt;0,"Loss","BE")))</f>
        <v/>
      </c>
      <c r="X45" s="5"/>
      <c r="Y45" s="5"/>
      <c r="Z45" s="5"/>
      <c r="AA45" s="5"/>
      <c r="AB45" s="5"/>
      <c r="AC45" s="5"/>
      <c r="AD45" s="5" t="str">
        <f>IF(OR(X45="",Y45=""),"",IF(AND(X45&gt;=5,Y45="N"),"Y","N"))</f>
        <v/>
      </c>
      <c r="AE45" s="0"/>
      <c r="AF45" s="0"/>
    </row>
    <row r="46" ht="20">
      <c r="A46" s="5"/>
      <c r="B46" s="2"/>
      <c r="C46" s="5" t="str">
        <f>IF(B46="","",TEXT(B46,"ddd"))</f>
        <v/>
      </c>
      <c r="D46" s="5"/>
      <c r="E46" s="5"/>
      <c r="F46" s="5"/>
      <c r="G46" s="0"/>
      <c r="H46" s="5"/>
      <c r="I46" s="5"/>
      <c r="J46" s="5"/>
      <c r="K46" s="5"/>
      <c r="L46" s="6"/>
      <c r="M46" s="3"/>
      <c r="N46" s="4" t="str">
        <f>IF(OR(O46="",P46="",R46=""),"",ABS(O46-P46)*R46)</f>
        <v/>
      </c>
      <c r="O46" s="4"/>
      <c r="P46" s="4"/>
      <c r="Q46" s="4"/>
      <c r="R46" s="0"/>
      <c r="S46" s="4" t="str">
        <f>IF(OR(O46="",Q46="",R46=""),"",IF(F46="Long",(Q46-O46)*R46,(O46-Q46)*R46))</f>
        <v/>
      </c>
      <c r="T46" s="4"/>
      <c r="U46" s="4" t="str">
        <f>IF(S46="","",S46-T46)</f>
        <v/>
      </c>
      <c r="V46" s="6" t="str">
        <f>IF(OR(N46="",N46=0,U46=""),"",U46/N46)</f>
        <v/>
      </c>
      <c r="W46" s="5" t="str">
        <f>IF(U46="","",IF(U46&gt;0,"Win",IF(U46&lt;0,"Loss","BE")))</f>
        <v/>
      </c>
      <c r="X46" s="5"/>
      <c r="Y46" s="5"/>
      <c r="Z46" s="5"/>
      <c r="AA46" s="5"/>
      <c r="AB46" s="5"/>
      <c r="AC46" s="5"/>
      <c r="AD46" s="5" t="str">
        <f>IF(OR(X46="",Y46=""),"",IF(AND(X46&gt;=5,Y46="N"),"Y","N"))</f>
        <v/>
      </c>
      <c r="AE46" s="0"/>
      <c r="AF46" s="0"/>
    </row>
    <row r="47" ht="20">
      <c r="A47" s="5"/>
      <c r="B47" s="2"/>
      <c r="C47" s="5" t="str">
        <f>IF(B47="","",TEXT(B47,"ddd"))</f>
        <v/>
      </c>
      <c r="D47" s="5"/>
      <c r="E47" s="5"/>
      <c r="F47" s="5"/>
      <c r="G47" s="0"/>
      <c r="H47" s="5"/>
      <c r="I47" s="5"/>
      <c r="J47" s="5"/>
      <c r="K47" s="5"/>
      <c r="L47" s="6"/>
      <c r="M47" s="3"/>
      <c r="N47" s="4" t="str">
        <f>IF(OR(O47="",P47="",R47=""),"",ABS(O47-P47)*R47)</f>
        <v/>
      </c>
      <c r="O47" s="4"/>
      <c r="P47" s="4"/>
      <c r="Q47" s="4"/>
      <c r="R47" s="0"/>
      <c r="S47" s="4" t="str">
        <f>IF(OR(O47="",Q47="",R47=""),"",IF(F47="Long",(Q47-O47)*R47,(O47-Q47)*R47))</f>
        <v/>
      </c>
      <c r="T47" s="4"/>
      <c r="U47" s="4" t="str">
        <f>IF(S47="","",S47-T47)</f>
        <v/>
      </c>
      <c r="V47" s="6" t="str">
        <f>IF(OR(N47="",N47=0,U47=""),"",U47/N47)</f>
        <v/>
      </c>
      <c r="W47" s="5" t="str">
        <f>IF(U47="","",IF(U47&gt;0,"Win",IF(U47&lt;0,"Loss","BE")))</f>
        <v/>
      </c>
      <c r="X47" s="5"/>
      <c r="Y47" s="5"/>
      <c r="Z47" s="5"/>
      <c r="AA47" s="5"/>
      <c r="AB47" s="5"/>
      <c r="AC47" s="5"/>
      <c r="AD47" s="5" t="str">
        <f>IF(OR(X47="",Y47=""),"",IF(AND(X47&gt;=5,Y47="N"),"Y","N"))</f>
        <v/>
      </c>
      <c r="AE47" s="0"/>
      <c r="AF47" s="0"/>
    </row>
    <row r="48" ht="20">
      <c r="A48" s="5"/>
      <c r="B48" s="2"/>
      <c r="C48" s="5" t="str">
        <f>IF(B48="","",TEXT(B48,"ddd"))</f>
        <v/>
      </c>
      <c r="D48" s="5"/>
      <c r="E48" s="5"/>
      <c r="F48" s="5"/>
      <c r="G48" s="0"/>
      <c r="H48" s="5"/>
      <c r="I48" s="5"/>
      <c r="J48" s="5"/>
      <c r="K48" s="5"/>
      <c r="L48" s="6"/>
      <c r="M48" s="3"/>
      <c r="N48" s="4" t="str">
        <f>IF(OR(O48="",P48="",R48=""),"",ABS(O48-P48)*R48)</f>
        <v/>
      </c>
      <c r="O48" s="4"/>
      <c r="P48" s="4"/>
      <c r="Q48" s="4"/>
      <c r="R48" s="0"/>
      <c r="S48" s="4" t="str">
        <f>IF(OR(O48="",Q48="",R48=""),"",IF(F48="Long",(Q48-O48)*R48,(O48-Q48)*R48))</f>
        <v/>
      </c>
      <c r="T48" s="4"/>
      <c r="U48" s="4" t="str">
        <f>IF(S48="","",S48-T48)</f>
        <v/>
      </c>
      <c r="V48" s="6" t="str">
        <f>IF(OR(N48="",N48=0,U48=""),"",U48/N48)</f>
        <v/>
      </c>
      <c r="W48" s="5" t="str">
        <f>IF(U48="","",IF(U48&gt;0,"Win",IF(U48&lt;0,"Loss","BE")))</f>
        <v/>
      </c>
      <c r="X48" s="5"/>
      <c r="Y48" s="5"/>
      <c r="Z48" s="5"/>
      <c r="AA48" s="5"/>
      <c r="AB48" s="5"/>
      <c r="AC48" s="5"/>
      <c r="AD48" s="5" t="str">
        <f>IF(OR(X48="",Y48=""),"",IF(AND(X48&gt;=5,Y48="N"),"Y","N"))</f>
        <v/>
      </c>
      <c r="AE48" s="0"/>
      <c r="AF48" s="0"/>
    </row>
    <row r="49" ht="20">
      <c r="A49" s="5"/>
      <c r="B49" s="2"/>
      <c r="C49" s="5" t="str">
        <f>IF(B49="","",TEXT(B49,"ddd"))</f>
        <v/>
      </c>
      <c r="D49" s="5"/>
      <c r="E49" s="5"/>
      <c r="F49" s="5"/>
      <c r="G49" s="0"/>
      <c r="H49" s="5"/>
      <c r="I49" s="5"/>
      <c r="J49" s="5"/>
      <c r="K49" s="5"/>
      <c r="L49" s="6"/>
      <c r="M49" s="3"/>
      <c r="N49" s="4" t="str">
        <f>IF(OR(O49="",P49="",R49=""),"",ABS(O49-P49)*R49)</f>
        <v/>
      </c>
      <c r="O49" s="4"/>
      <c r="P49" s="4"/>
      <c r="Q49" s="4"/>
      <c r="R49" s="0"/>
      <c r="S49" s="4" t="str">
        <f>IF(OR(O49="",Q49="",R49=""),"",IF(F49="Long",(Q49-O49)*R49,(O49-Q49)*R49))</f>
        <v/>
      </c>
      <c r="T49" s="4"/>
      <c r="U49" s="4" t="str">
        <f>IF(S49="","",S49-T49)</f>
        <v/>
      </c>
      <c r="V49" s="6" t="str">
        <f>IF(OR(N49="",N49=0,U49=""),"",U49/N49)</f>
        <v/>
      </c>
      <c r="W49" s="5" t="str">
        <f>IF(U49="","",IF(U49&gt;0,"Win",IF(U49&lt;0,"Loss","BE")))</f>
        <v/>
      </c>
      <c r="X49" s="5"/>
      <c r="Y49" s="5"/>
      <c r="Z49" s="5"/>
      <c r="AA49" s="5"/>
      <c r="AB49" s="5"/>
      <c r="AC49" s="5"/>
      <c r="AD49" s="5" t="str">
        <f>IF(OR(X49="",Y49=""),"",IF(AND(X49&gt;=5,Y49="N"),"Y","N"))</f>
        <v/>
      </c>
      <c r="AE49" s="0"/>
      <c r="AF49" s="0"/>
    </row>
    <row r="50" ht="20">
      <c r="A50" s="5"/>
      <c r="B50" s="2"/>
      <c r="C50" s="5" t="str">
        <f>IF(B50="","",TEXT(B50,"ddd"))</f>
        <v/>
      </c>
      <c r="D50" s="5"/>
      <c r="E50" s="5"/>
      <c r="F50" s="5"/>
      <c r="G50" s="0"/>
      <c r="H50" s="5"/>
      <c r="I50" s="5"/>
      <c r="J50" s="5"/>
      <c r="K50" s="5"/>
      <c r="L50" s="6"/>
      <c r="M50" s="3"/>
      <c r="N50" s="4" t="str">
        <f>IF(OR(O50="",P50="",R50=""),"",ABS(O50-P50)*R50)</f>
        <v/>
      </c>
      <c r="O50" s="4"/>
      <c r="P50" s="4"/>
      <c r="Q50" s="4"/>
      <c r="R50" s="0"/>
      <c r="S50" s="4" t="str">
        <f>IF(OR(O50="",Q50="",R50=""),"",IF(F50="Long",(Q50-O50)*R50,(O50-Q50)*R50))</f>
        <v/>
      </c>
      <c r="T50" s="4"/>
      <c r="U50" s="4" t="str">
        <f>IF(S50="","",S50-T50)</f>
        <v/>
      </c>
      <c r="V50" s="6" t="str">
        <f>IF(OR(N50="",N50=0,U50=""),"",U50/N50)</f>
        <v/>
      </c>
      <c r="W50" s="5" t="str">
        <f>IF(U50="","",IF(U50&gt;0,"Win",IF(U50&lt;0,"Loss","BE")))</f>
        <v/>
      </c>
      <c r="X50" s="5"/>
      <c r="Y50" s="5"/>
      <c r="Z50" s="5"/>
      <c r="AA50" s="5"/>
      <c r="AB50" s="5"/>
      <c r="AC50" s="5"/>
      <c r="AD50" s="5" t="str">
        <f>IF(OR(X50="",Y50=""),"",IF(AND(X50&gt;=5,Y50="N"),"Y","N"))</f>
        <v/>
      </c>
      <c r="AE50" s="0"/>
      <c r="AF50" s="0"/>
    </row>
  </sheetData>
  <conditionalFormatting sqref="Y2:Y50">
    <cfRule type="cellIs" dxfId="0" priority="1" operator="equal">
      <formula>"Y"</formula>
    </cfRule>
  </conditionalFormatting>
  <conditionalFormatting sqref="X2:X50">
    <cfRule type="cellIs" dxfId="2" priority="2" operator="lessThan">
      <formula>5</formula>
    </cfRule>
  </conditionalFormatting>
  <conditionalFormatting sqref="W2:W50">
    <cfRule type="cellIs" dxfId="0" priority="3" operator="equal">
      <formula>"Loss"</formula>
    </cfRule>
    <cfRule type="cellIs" dxfId="1" priority="4" operator="equal">
      <formula>"Win"</formula>
    </cfRule>
  </conditionalFormatting>
  <dataValidations count="6">
    <dataValidation type="list" allowBlank="1" showInputMessage="1" showErrorMessage="1" sqref="F2:F50">
      <formula1>"Long,Short"</formula1>
    </dataValidation>
    <dataValidation type="list" allowBlank="1" showInputMessage="1" showErrorMessage="1" sqref="I2:K50 Y2:Y50">
      <formula1>"Y,N"</formula1>
    </dataValidation>
    <dataValidation type="list" allowBlank="1" showInputMessage="1" showErrorMessage="1" sqref="W2:W50">
      <formula1>"Win,Loss,BE"</formula1>
    </dataValidation>
    <dataValidation type="list" allowBlank="1" showInputMessage="1" showErrorMessage="1" sqref="X2:X50">
      <formula1>"0,1,2,3,4,5"</formula1>
    </dataValidation>
    <dataValidation type="list" allowBlank="1" showInputMessage="1" showErrorMessage="1" sqref="Z2:Z50">
      <formula1>"None,Overtrading,Revenge,FOMO/Chase,No Stop,Moved Stop,Averaged Down,Outside Window,Other"</formula1>
    </dataValidation>
    <dataValidation type="list" allowBlank="1" showInputMessage="1" showErrorMessage="1" sqref="AA2:AC50">
      <formula1>"1,2,3,4,5,6,7,8,9,10"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dimension ref="A1:N35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4" customWidth="1"/>
    <col min="3" max="3" width="19" customWidth="1"/>
    <col min="4" max="4" width="10" customWidth="1"/>
    <col min="5" max="5" width="19" customWidth="1"/>
    <col min="6" max="6" width="15" customWidth="1"/>
    <col min="7" max="7" width="11" customWidth="1"/>
    <col min="8" max="8" width="22" customWidth="1"/>
    <col min="9" max="9" width="16" customWidth="1"/>
    <col min="10" max="10" width="22" customWidth="1"/>
    <col min="11" max="11" width="15" customWidth="1"/>
    <col min="12" max="12" width="20" customWidth="1"/>
    <col min="13" max="13" width="23" customWidth="1"/>
    <col min="14" max="14" width="40" customWidth="1"/>
  </cols>
  <sheetData>
    <row r="1" ht="28" customHeight="1">
      <c r="A1" s="1" t="inlineStr">
        <is>
          <t>Date</t>
        </is>
      </c>
      <c r="B1" s="1" t="inlineStr">
        <is>
          <t>Trades_Taken</t>
        </is>
      </c>
      <c r="C1" s="1" t="inlineStr">
        <is>
          <t>Max_Trades_Allowed</t>
        </is>
      </c>
      <c r="D1" s="1" t="inlineStr">
        <is>
          <t>Losses</t>
        </is>
      </c>
      <c r="E1" s="1" t="inlineStr">
        <is>
          <t>Max_Losses_Allowed</t>
        </is>
      </c>
      <c r="F1" s="1" t="inlineStr">
        <is>
          <t>Daily_Net_PnL</t>
        </is>
      </c>
      <c r="G1" s="1" t="inlineStr">
        <is>
          <t>Daily_R</t>
        </is>
      </c>
      <c r="H1" s="1" t="inlineStr">
        <is>
          <t>Checklist_Trades_5of5</t>
        </is>
      </c>
      <c r="I1" s="1" t="inlineStr">
        <is>
          <t>Rule_Violations</t>
        </is>
      </c>
      <c r="J1" s="1" t="inlineStr">
        <is>
          <t>Adherence_Score_0to5</t>
        </is>
      </c>
      <c r="K1" s="1" t="inlineStr">
        <is>
          <t>Adherence_Pct</t>
        </is>
      </c>
      <c r="L1" s="1" t="inlineStr">
        <is>
          <t>Hit_Daily_Loss_Limit</t>
        </is>
      </c>
      <c r="M1" s="1" t="inlineStr">
        <is>
          <t>Stopped_After_2_Losses</t>
        </is>
      </c>
      <c r="N1" s="1" t="inlineStr">
        <is>
          <t>Notes</t>
        </is>
      </c>
    </row>
    <row r="2" ht="20">
      <c r="A2" s="2" t="inlineStr">
        <is>
          <t>2026-10-20</t>
        </is>
      </c>
      <c r="B2" s="5">
        <f>COUNTIFS(Trade_Log!$B:$B,$A2)</f>
        <v>2</v>
      </c>
      <c r="C2" s="5">
        <v>2</v>
      </c>
      <c r="D2" s="5">
        <f>COUNTIFS(Trade_Log!$B:$B,$A2,Trade_Log!$W:$W,"Loss")</f>
        <v>1</v>
      </c>
      <c r="E2" s="5">
        <v>2</v>
      </c>
      <c r="F2" s="4">
        <f>SUMIFS(Trade_Log!$U:$U,Trade_Log!$B:$B,$A2)</f>
        <v>410.0</v>
      </c>
      <c r="G2" s="6">
        <f>SUMIFS(Trade_Log!$V:$V,Trade_Log!$B:$B,$A2)</f>
        <v>0.82</v>
      </c>
      <c r="H2" s="5">
        <f>COUNTIFS(Trade_Log!$B:$B,$A2,Trade_Log!$X:$X,5)</f>
        <v>2</v>
      </c>
      <c r="I2" s="5">
        <f>COUNTIFS(Trade_Log!$B:$B,$A2,Trade_Log!$Y:$Y,"Y")</f>
        <v>0</v>
      </c>
      <c r="J2" s="5">
        <v>5</v>
      </c>
      <c r="K2" s="3">
        <f>IF(J2="","",J2/5)</f>
        <v>1.0</v>
      </c>
      <c r="L2" s="5" t="inlineStr">
        <is>
          <t>N</t>
        </is>
      </c>
      <c r="M2" s="5" t="inlineStr">
        <is>
          <t>N</t>
        </is>
      </c>
      <c r="N2" s="0" t="inlineStr">
        <is>
          <t>[EXAMPLE] Clean adherence. 1 win, 1 loss. Cooldown strictly followed.</t>
        </is>
      </c>
    </row>
    <row r="3" ht="20">
      <c r="A3" s="2" t="inlineStr">
        <is>
          <t>2026-10-21</t>
        </is>
      </c>
      <c r="B3" s="5">
        <f>COUNTIFS(Trade_Log!$B:$B,$A3)</f>
        <v>1</v>
      </c>
      <c r="C3" s="5">
        <v>2</v>
      </c>
      <c r="D3" s="5">
        <f>COUNTIFS(Trade_Log!$B:$B,$A3,Trade_Log!$W:$W,"Loss")</f>
        <v>0</v>
      </c>
      <c r="E3" s="5">
        <v>2</v>
      </c>
      <c r="F3" s="4">
        <f>SUMIFS(Trade_Log!$U:$U,Trade_Log!$B:$B,$A3)</f>
        <v>955.0</v>
      </c>
      <c r="G3" s="6">
        <f>SUMIFS(Trade_Log!$V:$V,Trade_Log!$B:$B,$A3)</f>
        <v>1.91</v>
      </c>
      <c r="H3" s="5">
        <f>COUNTIFS(Trade_Log!$B:$B,$A3,Trade_Log!$X:$X,5)</f>
        <v>1</v>
      </c>
      <c r="I3" s="5">
        <f>COUNTIFS(Trade_Log!$B:$B,$A3,Trade_Log!$Y:$Y,"Y")</f>
        <v>0</v>
      </c>
      <c r="J3" s="5">
        <v>5</v>
      </c>
      <c r="K3" s="3">
        <f>IF(J3="","",J3/5)</f>
        <v>1.0</v>
      </c>
      <c r="L3" s="5" t="inlineStr">
        <is>
          <t>N</t>
        </is>
      </c>
      <c r="M3" s="5" t="inlineStr">
        <is>
          <t>N</t>
        </is>
      </c>
      <c r="N3" s="0" t="inlineStr">
        <is>
          <t>[EXAMPLE] Single A+ setup taken and closed platform.</t>
        </is>
      </c>
    </row>
    <row r="4" ht="20">
      <c r="A4" s="2"/>
      <c r="B4" s="5" t="str">
        <f>COUNTIFS(Trade_Log!$B:$B,$A4)</f>
        <v/>
      </c>
      <c r="C4" s="5">
        <v>2</v>
      </c>
      <c r="D4" s="5" t="str">
        <f>COUNTIFS(Trade_Log!$B:$B,$A4,Trade_Log!$W:$W,"Loss")</f>
        <v/>
      </c>
      <c r="E4" s="5">
        <v>2</v>
      </c>
      <c r="F4" s="4" t="str">
        <f>SUMIFS(Trade_Log!$U:$U,Trade_Log!$B:$B,$A4)</f>
        <v/>
      </c>
      <c r="G4" s="6" t="str">
        <f>SUMIFS(Trade_Log!$V:$V,Trade_Log!$B:$B,$A4)</f>
        <v/>
      </c>
      <c r="H4" s="5" t="str">
        <f>COUNTIFS(Trade_Log!$B:$B,$A4,Trade_Log!$X:$X,5)</f>
        <v/>
      </c>
      <c r="I4" s="5" t="str">
        <f>COUNTIFS(Trade_Log!$B:$B,$A4,Trade_Log!$Y:$Y,"Y")</f>
        <v/>
      </c>
      <c r="J4" s="5"/>
      <c r="K4" s="3" t="str">
        <f>IF(J4="","",J4/5)</f>
        <v/>
      </c>
      <c r="L4" s="5"/>
      <c r="M4" s="5"/>
      <c r="N4" s="0"/>
    </row>
    <row r="5" ht="20">
      <c r="A5" s="2"/>
      <c r="B5" s="5" t="str">
        <f>COUNTIFS(Trade_Log!$B:$B,$A5)</f>
        <v/>
      </c>
      <c r="C5" s="5">
        <v>2</v>
      </c>
      <c r="D5" s="5" t="str">
        <f>COUNTIFS(Trade_Log!$B:$B,$A5,Trade_Log!$W:$W,"Loss")</f>
        <v/>
      </c>
      <c r="E5" s="5">
        <v>2</v>
      </c>
      <c r="F5" s="4" t="str">
        <f>SUMIFS(Trade_Log!$U:$U,Trade_Log!$B:$B,$A5)</f>
        <v/>
      </c>
      <c r="G5" s="6" t="str">
        <f>SUMIFS(Trade_Log!$V:$V,Trade_Log!$B:$B,$A5)</f>
        <v/>
      </c>
      <c r="H5" s="5" t="str">
        <f>COUNTIFS(Trade_Log!$B:$B,$A5,Trade_Log!$X:$X,5)</f>
        <v/>
      </c>
      <c r="I5" s="5" t="str">
        <f>COUNTIFS(Trade_Log!$B:$B,$A5,Trade_Log!$Y:$Y,"Y")</f>
        <v/>
      </c>
      <c r="J5" s="5"/>
      <c r="K5" s="3" t="str">
        <f>IF(J5="","",J5/5)</f>
        <v/>
      </c>
      <c r="L5" s="5"/>
      <c r="M5" s="5"/>
      <c r="N5" s="0"/>
    </row>
    <row r="6" ht="20">
      <c r="A6" s="2"/>
      <c r="B6" s="5" t="str">
        <f>COUNTIFS(Trade_Log!$B:$B,$A6)</f>
        <v/>
      </c>
      <c r="C6" s="5">
        <v>2</v>
      </c>
      <c r="D6" s="5" t="str">
        <f>COUNTIFS(Trade_Log!$B:$B,$A6,Trade_Log!$W:$W,"Loss")</f>
        <v/>
      </c>
      <c r="E6" s="5">
        <v>2</v>
      </c>
      <c r="F6" s="4" t="str">
        <f>SUMIFS(Trade_Log!$U:$U,Trade_Log!$B:$B,$A6)</f>
        <v/>
      </c>
      <c r="G6" s="6" t="str">
        <f>SUMIFS(Trade_Log!$V:$V,Trade_Log!$B:$B,$A6)</f>
        <v/>
      </c>
      <c r="H6" s="5" t="str">
        <f>COUNTIFS(Trade_Log!$B:$B,$A6,Trade_Log!$X:$X,5)</f>
        <v/>
      </c>
      <c r="I6" s="5" t="str">
        <f>COUNTIFS(Trade_Log!$B:$B,$A6,Trade_Log!$Y:$Y,"Y")</f>
        <v/>
      </c>
      <c r="J6" s="5"/>
      <c r="K6" s="3" t="str">
        <f>IF(J6="","",J6/5)</f>
        <v/>
      </c>
      <c r="L6" s="5"/>
      <c r="M6" s="5"/>
      <c r="N6" s="0"/>
    </row>
    <row r="7" ht="20">
      <c r="A7" s="2"/>
      <c r="B7" s="5" t="str">
        <f>COUNTIFS(Trade_Log!$B:$B,$A7)</f>
        <v/>
      </c>
      <c r="C7" s="5">
        <v>2</v>
      </c>
      <c r="D7" s="5" t="str">
        <f>COUNTIFS(Trade_Log!$B:$B,$A7,Trade_Log!$W:$W,"Loss")</f>
        <v/>
      </c>
      <c r="E7" s="5">
        <v>2</v>
      </c>
      <c r="F7" s="4" t="str">
        <f>SUMIFS(Trade_Log!$U:$U,Trade_Log!$B:$B,$A7)</f>
        <v/>
      </c>
      <c r="G7" s="6" t="str">
        <f>SUMIFS(Trade_Log!$V:$V,Trade_Log!$B:$B,$A7)</f>
        <v/>
      </c>
      <c r="H7" s="5" t="str">
        <f>COUNTIFS(Trade_Log!$B:$B,$A7,Trade_Log!$X:$X,5)</f>
        <v/>
      </c>
      <c r="I7" s="5" t="str">
        <f>COUNTIFS(Trade_Log!$B:$B,$A7,Trade_Log!$Y:$Y,"Y")</f>
        <v/>
      </c>
      <c r="J7" s="5"/>
      <c r="K7" s="3" t="str">
        <f>IF(J7="","",J7/5)</f>
        <v/>
      </c>
      <c r="L7" s="5"/>
      <c r="M7" s="5"/>
      <c r="N7" s="0"/>
    </row>
    <row r="8" ht="20">
      <c r="A8" s="2"/>
      <c r="B8" s="5" t="str">
        <f>COUNTIFS(Trade_Log!$B:$B,$A8)</f>
        <v/>
      </c>
      <c r="C8" s="5">
        <v>2</v>
      </c>
      <c r="D8" s="5" t="str">
        <f>COUNTIFS(Trade_Log!$B:$B,$A8,Trade_Log!$W:$W,"Loss")</f>
        <v/>
      </c>
      <c r="E8" s="5">
        <v>2</v>
      </c>
      <c r="F8" s="4" t="str">
        <f>SUMIFS(Trade_Log!$U:$U,Trade_Log!$B:$B,$A8)</f>
        <v/>
      </c>
      <c r="G8" s="6" t="str">
        <f>SUMIFS(Trade_Log!$V:$V,Trade_Log!$B:$B,$A8)</f>
        <v/>
      </c>
      <c r="H8" s="5" t="str">
        <f>COUNTIFS(Trade_Log!$B:$B,$A8,Trade_Log!$X:$X,5)</f>
        <v/>
      </c>
      <c r="I8" s="5" t="str">
        <f>COUNTIFS(Trade_Log!$B:$B,$A8,Trade_Log!$Y:$Y,"Y")</f>
        <v/>
      </c>
      <c r="J8" s="5"/>
      <c r="K8" s="3" t="str">
        <f>IF(J8="","",J8/5)</f>
        <v/>
      </c>
      <c r="L8" s="5"/>
      <c r="M8" s="5"/>
      <c r="N8" s="0"/>
    </row>
    <row r="9" ht="20">
      <c r="A9" s="2"/>
      <c r="B9" s="5" t="str">
        <f>COUNTIFS(Trade_Log!$B:$B,$A9)</f>
        <v/>
      </c>
      <c r="C9" s="5">
        <v>2</v>
      </c>
      <c r="D9" s="5" t="str">
        <f>COUNTIFS(Trade_Log!$B:$B,$A9,Trade_Log!$W:$W,"Loss")</f>
        <v/>
      </c>
      <c r="E9" s="5">
        <v>2</v>
      </c>
      <c r="F9" s="4" t="str">
        <f>SUMIFS(Trade_Log!$U:$U,Trade_Log!$B:$B,$A9)</f>
        <v/>
      </c>
      <c r="G9" s="6" t="str">
        <f>SUMIFS(Trade_Log!$V:$V,Trade_Log!$B:$B,$A9)</f>
        <v/>
      </c>
      <c r="H9" s="5" t="str">
        <f>COUNTIFS(Trade_Log!$B:$B,$A9,Trade_Log!$X:$X,5)</f>
        <v/>
      </c>
      <c r="I9" s="5" t="str">
        <f>COUNTIFS(Trade_Log!$B:$B,$A9,Trade_Log!$Y:$Y,"Y")</f>
        <v/>
      </c>
      <c r="J9" s="5"/>
      <c r="K9" s="3" t="str">
        <f>IF(J9="","",J9/5)</f>
        <v/>
      </c>
      <c r="L9" s="5"/>
      <c r="M9" s="5"/>
      <c r="N9" s="0"/>
    </row>
    <row r="10" ht="20">
      <c r="A10" s="2"/>
      <c r="B10" s="5" t="str">
        <f>COUNTIFS(Trade_Log!$B:$B,$A10)</f>
        <v/>
      </c>
      <c r="C10" s="5">
        <v>2</v>
      </c>
      <c r="D10" s="5" t="str">
        <f>COUNTIFS(Trade_Log!$B:$B,$A10,Trade_Log!$W:$W,"Loss")</f>
        <v/>
      </c>
      <c r="E10" s="5">
        <v>2</v>
      </c>
      <c r="F10" s="4" t="str">
        <f>SUMIFS(Trade_Log!$U:$U,Trade_Log!$B:$B,$A10)</f>
        <v/>
      </c>
      <c r="G10" s="6" t="str">
        <f>SUMIFS(Trade_Log!$V:$V,Trade_Log!$B:$B,$A10)</f>
        <v/>
      </c>
      <c r="H10" s="5" t="str">
        <f>COUNTIFS(Trade_Log!$B:$B,$A10,Trade_Log!$X:$X,5)</f>
        <v/>
      </c>
      <c r="I10" s="5" t="str">
        <f>COUNTIFS(Trade_Log!$B:$B,$A10,Trade_Log!$Y:$Y,"Y")</f>
        <v/>
      </c>
      <c r="J10" s="5"/>
      <c r="K10" s="3" t="str">
        <f>IF(J10="","",J10/5)</f>
        <v/>
      </c>
      <c r="L10" s="5"/>
      <c r="M10" s="5"/>
      <c r="N10" s="0"/>
    </row>
    <row r="11" ht="20">
      <c r="A11" s="2"/>
      <c r="B11" s="5" t="str">
        <f>COUNTIFS(Trade_Log!$B:$B,$A11)</f>
        <v/>
      </c>
      <c r="C11" s="5">
        <v>2</v>
      </c>
      <c r="D11" s="5" t="str">
        <f>COUNTIFS(Trade_Log!$B:$B,$A11,Trade_Log!$W:$W,"Loss")</f>
        <v/>
      </c>
      <c r="E11" s="5">
        <v>2</v>
      </c>
      <c r="F11" s="4" t="str">
        <f>SUMIFS(Trade_Log!$U:$U,Trade_Log!$B:$B,$A11)</f>
        <v/>
      </c>
      <c r="G11" s="6" t="str">
        <f>SUMIFS(Trade_Log!$V:$V,Trade_Log!$B:$B,$A11)</f>
        <v/>
      </c>
      <c r="H11" s="5" t="str">
        <f>COUNTIFS(Trade_Log!$B:$B,$A11,Trade_Log!$X:$X,5)</f>
        <v/>
      </c>
      <c r="I11" s="5" t="str">
        <f>COUNTIFS(Trade_Log!$B:$B,$A11,Trade_Log!$Y:$Y,"Y")</f>
        <v/>
      </c>
      <c r="J11" s="5"/>
      <c r="K11" s="3" t="str">
        <f>IF(J11="","",J11/5)</f>
        <v/>
      </c>
      <c r="L11" s="5"/>
      <c r="M11" s="5"/>
      <c r="N11" s="0"/>
    </row>
    <row r="12" ht="20">
      <c r="A12" s="2"/>
      <c r="B12" s="5" t="str">
        <f>COUNTIFS(Trade_Log!$B:$B,$A12)</f>
        <v/>
      </c>
      <c r="C12" s="5">
        <v>2</v>
      </c>
      <c r="D12" s="5" t="str">
        <f>COUNTIFS(Trade_Log!$B:$B,$A12,Trade_Log!$W:$W,"Loss")</f>
        <v/>
      </c>
      <c r="E12" s="5">
        <v>2</v>
      </c>
      <c r="F12" s="4" t="str">
        <f>SUMIFS(Trade_Log!$U:$U,Trade_Log!$B:$B,$A12)</f>
        <v/>
      </c>
      <c r="G12" s="6" t="str">
        <f>SUMIFS(Trade_Log!$V:$V,Trade_Log!$B:$B,$A12)</f>
        <v/>
      </c>
      <c r="H12" s="5" t="str">
        <f>COUNTIFS(Trade_Log!$B:$B,$A12,Trade_Log!$X:$X,5)</f>
        <v/>
      </c>
      <c r="I12" s="5" t="str">
        <f>COUNTIFS(Trade_Log!$B:$B,$A12,Trade_Log!$Y:$Y,"Y")</f>
        <v/>
      </c>
      <c r="J12" s="5"/>
      <c r="K12" s="3" t="str">
        <f>IF(J12="","",J12/5)</f>
        <v/>
      </c>
      <c r="L12" s="5"/>
      <c r="M12" s="5"/>
      <c r="N12" s="0"/>
    </row>
    <row r="13" ht="20">
      <c r="A13" s="2"/>
      <c r="B13" s="5" t="str">
        <f>COUNTIFS(Trade_Log!$B:$B,$A13)</f>
        <v/>
      </c>
      <c r="C13" s="5">
        <v>2</v>
      </c>
      <c r="D13" s="5" t="str">
        <f>COUNTIFS(Trade_Log!$B:$B,$A13,Trade_Log!$W:$W,"Loss")</f>
        <v/>
      </c>
      <c r="E13" s="5">
        <v>2</v>
      </c>
      <c r="F13" s="4" t="str">
        <f>SUMIFS(Trade_Log!$U:$U,Trade_Log!$B:$B,$A13)</f>
        <v/>
      </c>
      <c r="G13" s="6" t="str">
        <f>SUMIFS(Trade_Log!$V:$V,Trade_Log!$B:$B,$A13)</f>
        <v/>
      </c>
      <c r="H13" s="5" t="str">
        <f>COUNTIFS(Trade_Log!$B:$B,$A13,Trade_Log!$X:$X,5)</f>
        <v/>
      </c>
      <c r="I13" s="5" t="str">
        <f>COUNTIFS(Trade_Log!$B:$B,$A13,Trade_Log!$Y:$Y,"Y")</f>
        <v/>
      </c>
      <c r="J13" s="5"/>
      <c r="K13" s="3" t="str">
        <f>IF(J13="","",J13/5)</f>
        <v/>
      </c>
      <c r="L13" s="5"/>
      <c r="M13" s="5"/>
      <c r="N13" s="0"/>
    </row>
    <row r="14" ht="20">
      <c r="A14" s="2"/>
      <c r="B14" s="5" t="str">
        <f>COUNTIFS(Trade_Log!$B:$B,$A14)</f>
        <v/>
      </c>
      <c r="C14" s="5">
        <v>2</v>
      </c>
      <c r="D14" s="5" t="str">
        <f>COUNTIFS(Trade_Log!$B:$B,$A14,Trade_Log!$W:$W,"Loss")</f>
        <v/>
      </c>
      <c r="E14" s="5">
        <v>2</v>
      </c>
      <c r="F14" s="4" t="str">
        <f>SUMIFS(Trade_Log!$U:$U,Trade_Log!$B:$B,$A14)</f>
        <v/>
      </c>
      <c r="G14" s="6" t="str">
        <f>SUMIFS(Trade_Log!$V:$V,Trade_Log!$B:$B,$A14)</f>
        <v/>
      </c>
      <c r="H14" s="5" t="str">
        <f>COUNTIFS(Trade_Log!$B:$B,$A14,Trade_Log!$X:$X,5)</f>
        <v/>
      </c>
      <c r="I14" s="5" t="str">
        <f>COUNTIFS(Trade_Log!$B:$B,$A14,Trade_Log!$Y:$Y,"Y")</f>
        <v/>
      </c>
      <c r="J14" s="5"/>
      <c r="K14" s="3" t="str">
        <f>IF(J14="","",J14/5)</f>
        <v/>
      </c>
      <c r="L14" s="5"/>
      <c r="M14" s="5"/>
      <c r="N14" s="0"/>
    </row>
    <row r="15" ht="20">
      <c r="A15" s="2"/>
      <c r="B15" s="5" t="str">
        <f>COUNTIFS(Trade_Log!$B:$B,$A15)</f>
        <v/>
      </c>
      <c r="C15" s="5">
        <v>2</v>
      </c>
      <c r="D15" s="5" t="str">
        <f>COUNTIFS(Trade_Log!$B:$B,$A15,Trade_Log!$W:$W,"Loss")</f>
        <v/>
      </c>
      <c r="E15" s="5">
        <v>2</v>
      </c>
      <c r="F15" s="4" t="str">
        <f>SUMIFS(Trade_Log!$U:$U,Trade_Log!$B:$B,$A15)</f>
        <v/>
      </c>
      <c r="G15" s="6" t="str">
        <f>SUMIFS(Trade_Log!$V:$V,Trade_Log!$B:$B,$A15)</f>
        <v/>
      </c>
      <c r="H15" s="5" t="str">
        <f>COUNTIFS(Trade_Log!$B:$B,$A15,Trade_Log!$X:$X,5)</f>
        <v/>
      </c>
      <c r="I15" s="5" t="str">
        <f>COUNTIFS(Trade_Log!$B:$B,$A15,Trade_Log!$Y:$Y,"Y")</f>
        <v/>
      </c>
      <c r="J15" s="5"/>
      <c r="K15" s="3" t="str">
        <f>IF(J15="","",J15/5)</f>
        <v/>
      </c>
      <c r="L15" s="5"/>
      <c r="M15" s="5"/>
      <c r="N15" s="0"/>
    </row>
    <row r="16" ht="20">
      <c r="A16" s="2"/>
      <c r="B16" s="5" t="str">
        <f>COUNTIFS(Trade_Log!$B:$B,$A16)</f>
        <v/>
      </c>
      <c r="C16" s="5">
        <v>2</v>
      </c>
      <c r="D16" s="5" t="str">
        <f>COUNTIFS(Trade_Log!$B:$B,$A16,Trade_Log!$W:$W,"Loss")</f>
        <v/>
      </c>
      <c r="E16" s="5">
        <v>2</v>
      </c>
      <c r="F16" s="4" t="str">
        <f>SUMIFS(Trade_Log!$U:$U,Trade_Log!$B:$B,$A16)</f>
        <v/>
      </c>
      <c r="G16" s="6" t="str">
        <f>SUMIFS(Trade_Log!$V:$V,Trade_Log!$B:$B,$A16)</f>
        <v/>
      </c>
      <c r="H16" s="5" t="str">
        <f>COUNTIFS(Trade_Log!$B:$B,$A16,Trade_Log!$X:$X,5)</f>
        <v/>
      </c>
      <c r="I16" s="5" t="str">
        <f>COUNTIFS(Trade_Log!$B:$B,$A16,Trade_Log!$Y:$Y,"Y")</f>
        <v/>
      </c>
      <c r="J16" s="5"/>
      <c r="K16" s="3" t="str">
        <f>IF(J16="","",J16/5)</f>
        <v/>
      </c>
      <c r="L16" s="5"/>
      <c r="M16" s="5"/>
      <c r="N16" s="0"/>
    </row>
    <row r="17" ht="20">
      <c r="A17" s="2"/>
      <c r="B17" s="5" t="str">
        <f>COUNTIFS(Trade_Log!$B:$B,$A17)</f>
        <v/>
      </c>
      <c r="C17" s="5">
        <v>2</v>
      </c>
      <c r="D17" s="5" t="str">
        <f>COUNTIFS(Trade_Log!$B:$B,$A17,Trade_Log!$W:$W,"Loss")</f>
        <v/>
      </c>
      <c r="E17" s="5">
        <v>2</v>
      </c>
      <c r="F17" s="4" t="str">
        <f>SUMIFS(Trade_Log!$U:$U,Trade_Log!$B:$B,$A17)</f>
        <v/>
      </c>
      <c r="G17" s="6" t="str">
        <f>SUMIFS(Trade_Log!$V:$V,Trade_Log!$B:$B,$A17)</f>
        <v/>
      </c>
      <c r="H17" s="5" t="str">
        <f>COUNTIFS(Trade_Log!$B:$B,$A17,Trade_Log!$X:$X,5)</f>
        <v/>
      </c>
      <c r="I17" s="5" t="str">
        <f>COUNTIFS(Trade_Log!$B:$B,$A17,Trade_Log!$Y:$Y,"Y")</f>
        <v/>
      </c>
      <c r="J17" s="5"/>
      <c r="K17" s="3" t="str">
        <f>IF(J17="","",J17/5)</f>
        <v/>
      </c>
      <c r="L17" s="5"/>
      <c r="M17" s="5"/>
      <c r="N17" s="0"/>
    </row>
    <row r="18" ht="20">
      <c r="A18" s="2"/>
      <c r="B18" s="5" t="str">
        <f>COUNTIFS(Trade_Log!$B:$B,$A18)</f>
        <v/>
      </c>
      <c r="C18" s="5">
        <v>2</v>
      </c>
      <c r="D18" s="5" t="str">
        <f>COUNTIFS(Trade_Log!$B:$B,$A18,Trade_Log!$W:$W,"Loss")</f>
        <v/>
      </c>
      <c r="E18" s="5">
        <v>2</v>
      </c>
      <c r="F18" s="4" t="str">
        <f>SUMIFS(Trade_Log!$U:$U,Trade_Log!$B:$B,$A18)</f>
        <v/>
      </c>
      <c r="G18" s="6" t="str">
        <f>SUMIFS(Trade_Log!$V:$V,Trade_Log!$B:$B,$A18)</f>
        <v/>
      </c>
      <c r="H18" s="5" t="str">
        <f>COUNTIFS(Trade_Log!$B:$B,$A18,Trade_Log!$X:$X,5)</f>
        <v/>
      </c>
      <c r="I18" s="5" t="str">
        <f>COUNTIFS(Trade_Log!$B:$B,$A18,Trade_Log!$Y:$Y,"Y")</f>
        <v/>
      </c>
      <c r="J18" s="5"/>
      <c r="K18" s="3" t="str">
        <f>IF(J18="","",J18/5)</f>
        <v/>
      </c>
      <c r="L18" s="5"/>
      <c r="M18" s="5"/>
      <c r="N18" s="0"/>
    </row>
    <row r="19" ht="20">
      <c r="A19" s="2"/>
      <c r="B19" s="5" t="str">
        <f>COUNTIFS(Trade_Log!$B:$B,$A19)</f>
        <v/>
      </c>
      <c r="C19" s="5">
        <v>2</v>
      </c>
      <c r="D19" s="5" t="str">
        <f>COUNTIFS(Trade_Log!$B:$B,$A19,Trade_Log!$W:$W,"Loss")</f>
        <v/>
      </c>
      <c r="E19" s="5">
        <v>2</v>
      </c>
      <c r="F19" s="4" t="str">
        <f>SUMIFS(Trade_Log!$U:$U,Trade_Log!$B:$B,$A19)</f>
        <v/>
      </c>
      <c r="G19" s="6" t="str">
        <f>SUMIFS(Trade_Log!$V:$V,Trade_Log!$B:$B,$A19)</f>
        <v/>
      </c>
      <c r="H19" s="5" t="str">
        <f>COUNTIFS(Trade_Log!$B:$B,$A19,Trade_Log!$X:$X,5)</f>
        <v/>
      </c>
      <c r="I19" s="5" t="str">
        <f>COUNTIFS(Trade_Log!$B:$B,$A19,Trade_Log!$Y:$Y,"Y")</f>
        <v/>
      </c>
      <c r="J19" s="5"/>
      <c r="K19" s="3" t="str">
        <f>IF(J19="","",J19/5)</f>
        <v/>
      </c>
      <c r="L19" s="5"/>
      <c r="M19" s="5"/>
      <c r="N19" s="0"/>
    </row>
    <row r="20" ht="20">
      <c r="A20" s="2"/>
      <c r="B20" s="5" t="str">
        <f>COUNTIFS(Trade_Log!$B:$B,$A20)</f>
        <v/>
      </c>
      <c r="C20" s="5">
        <v>2</v>
      </c>
      <c r="D20" s="5" t="str">
        <f>COUNTIFS(Trade_Log!$B:$B,$A20,Trade_Log!$W:$W,"Loss")</f>
        <v/>
      </c>
      <c r="E20" s="5">
        <v>2</v>
      </c>
      <c r="F20" s="4" t="str">
        <f>SUMIFS(Trade_Log!$U:$U,Trade_Log!$B:$B,$A20)</f>
        <v/>
      </c>
      <c r="G20" s="6" t="str">
        <f>SUMIFS(Trade_Log!$V:$V,Trade_Log!$B:$B,$A20)</f>
        <v/>
      </c>
      <c r="H20" s="5" t="str">
        <f>COUNTIFS(Trade_Log!$B:$B,$A20,Trade_Log!$X:$X,5)</f>
        <v/>
      </c>
      <c r="I20" s="5" t="str">
        <f>COUNTIFS(Trade_Log!$B:$B,$A20,Trade_Log!$Y:$Y,"Y")</f>
        <v/>
      </c>
      <c r="J20" s="5"/>
      <c r="K20" s="3" t="str">
        <f>IF(J20="","",J20/5)</f>
        <v/>
      </c>
      <c r="L20" s="5"/>
      <c r="M20" s="5"/>
      <c r="N20" s="0"/>
    </row>
    <row r="21" ht="20">
      <c r="A21" s="2"/>
      <c r="B21" s="5" t="str">
        <f>COUNTIFS(Trade_Log!$B:$B,$A21)</f>
        <v/>
      </c>
      <c r="C21" s="5">
        <v>2</v>
      </c>
      <c r="D21" s="5" t="str">
        <f>COUNTIFS(Trade_Log!$B:$B,$A21,Trade_Log!$W:$W,"Loss")</f>
        <v/>
      </c>
      <c r="E21" s="5">
        <v>2</v>
      </c>
      <c r="F21" s="4" t="str">
        <f>SUMIFS(Trade_Log!$U:$U,Trade_Log!$B:$B,$A21)</f>
        <v/>
      </c>
      <c r="G21" s="6" t="str">
        <f>SUMIFS(Trade_Log!$V:$V,Trade_Log!$B:$B,$A21)</f>
        <v/>
      </c>
      <c r="H21" s="5" t="str">
        <f>COUNTIFS(Trade_Log!$B:$B,$A21,Trade_Log!$X:$X,5)</f>
        <v/>
      </c>
      <c r="I21" s="5" t="str">
        <f>COUNTIFS(Trade_Log!$B:$B,$A21,Trade_Log!$Y:$Y,"Y")</f>
        <v/>
      </c>
      <c r="J21" s="5"/>
      <c r="K21" s="3" t="str">
        <f>IF(J21="","",J21/5)</f>
        <v/>
      </c>
      <c r="L21" s="5"/>
      <c r="M21" s="5"/>
      <c r="N21" s="0"/>
    </row>
    <row r="22" ht="20">
      <c r="A22" s="2"/>
      <c r="B22" s="5" t="str">
        <f>COUNTIFS(Trade_Log!$B:$B,$A22)</f>
        <v/>
      </c>
      <c r="C22" s="5">
        <v>2</v>
      </c>
      <c r="D22" s="5" t="str">
        <f>COUNTIFS(Trade_Log!$B:$B,$A22,Trade_Log!$W:$W,"Loss")</f>
        <v/>
      </c>
      <c r="E22" s="5">
        <v>2</v>
      </c>
      <c r="F22" s="4" t="str">
        <f>SUMIFS(Trade_Log!$U:$U,Trade_Log!$B:$B,$A22)</f>
        <v/>
      </c>
      <c r="G22" s="6" t="str">
        <f>SUMIFS(Trade_Log!$V:$V,Trade_Log!$B:$B,$A22)</f>
        <v/>
      </c>
      <c r="H22" s="5" t="str">
        <f>COUNTIFS(Trade_Log!$B:$B,$A22,Trade_Log!$X:$X,5)</f>
        <v/>
      </c>
      <c r="I22" s="5" t="str">
        <f>COUNTIFS(Trade_Log!$B:$B,$A22,Trade_Log!$Y:$Y,"Y")</f>
        <v/>
      </c>
      <c r="J22" s="5"/>
      <c r="K22" s="3" t="str">
        <f>IF(J22="","",J22/5)</f>
        <v/>
      </c>
      <c r="L22" s="5"/>
      <c r="M22" s="5"/>
      <c r="N22" s="0"/>
    </row>
    <row r="23" ht="20">
      <c r="A23" s="2"/>
      <c r="B23" s="5" t="str">
        <f>COUNTIFS(Trade_Log!$B:$B,$A23)</f>
        <v/>
      </c>
      <c r="C23" s="5">
        <v>2</v>
      </c>
      <c r="D23" s="5" t="str">
        <f>COUNTIFS(Trade_Log!$B:$B,$A23,Trade_Log!$W:$W,"Loss")</f>
        <v/>
      </c>
      <c r="E23" s="5">
        <v>2</v>
      </c>
      <c r="F23" s="4" t="str">
        <f>SUMIFS(Trade_Log!$U:$U,Trade_Log!$B:$B,$A23)</f>
        <v/>
      </c>
      <c r="G23" s="6" t="str">
        <f>SUMIFS(Trade_Log!$V:$V,Trade_Log!$B:$B,$A23)</f>
        <v/>
      </c>
      <c r="H23" s="5" t="str">
        <f>COUNTIFS(Trade_Log!$B:$B,$A23,Trade_Log!$X:$X,5)</f>
        <v/>
      </c>
      <c r="I23" s="5" t="str">
        <f>COUNTIFS(Trade_Log!$B:$B,$A23,Trade_Log!$Y:$Y,"Y")</f>
        <v/>
      </c>
      <c r="J23" s="5"/>
      <c r="K23" s="3" t="str">
        <f>IF(J23="","",J23/5)</f>
        <v/>
      </c>
      <c r="L23" s="5"/>
      <c r="M23" s="5"/>
      <c r="N23" s="0"/>
    </row>
    <row r="24" ht="20">
      <c r="A24" s="2"/>
      <c r="B24" s="5" t="str">
        <f>COUNTIFS(Trade_Log!$B:$B,$A24)</f>
        <v/>
      </c>
      <c r="C24" s="5">
        <v>2</v>
      </c>
      <c r="D24" s="5" t="str">
        <f>COUNTIFS(Trade_Log!$B:$B,$A24,Trade_Log!$W:$W,"Loss")</f>
        <v/>
      </c>
      <c r="E24" s="5">
        <v>2</v>
      </c>
      <c r="F24" s="4" t="str">
        <f>SUMIFS(Trade_Log!$U:$U,Trade_Log!$B:$B,$A24)</f>
        <v/>
      </c>
      <c r="G24" s="6" t="str">
        <f>SUMIFS(Trade_Log!$V:$V,Trade_Log!$B:$B,$A24)</f>
        <v/>
      </c>
      <c r="H24" s="5" t="str">
        <f>COUNTIFS(Trade_Log!$B:$B,$A24,Trade_Log!$X:$X,5)</f>
        <v/>
      </c>
      <c r="I24" s="5" t="str">
        <f>COUNTIFS(Trade_Log!$B:$B,$A24,Trade_Log!$Y:$Y,"Y")</f>
        <v/>
      </c>
      <c r="J24" s="5"/>
      <c r="K24" s="3" t="str">
        <f>IF(J24="","",J24/5)</f>
        <v/>
      </c>
      <c r="L24" s="5"/>
      <c r="M24" s="5"/>
      <c r="N24" s="0"/>
    </row>
    <row r="25" ht="20">
      <c r="A25" s="2"/>
      <c r="B25" s="5" t="str">
        <f>COUNTIFS(Trade_Log!$B:$B,$A25)</f>
        <v/>
      </c>
      <c r="C25" s="5">
        <v>2</v>
      </c>
      <c r="D25" s="5" t="str">
        <f>COUNTIFS(Trade_Log!$B:$B,$A25,Trade_Log!$W:$W,"Loss")</f>
        <v/>
      </c>
      <c r="E25" s="5">
        <v>2</v>
      </c>
      <c r="F25" s="4" t="str">
        <f>SUMIFS(Trade_Log!$U:$U,Trade_Log!$B:$B,$A25)</f>
        <v/>
      </c>
      <c r="G25" s="6" t="str">
        <f>SUMIFS(Trade_Log!$V:$V,Trade_Log!$B:$B,$A25)</f>
        <v/>
      </c>
      <c r="H25" s="5" t="str">
        <f>COUNTIFS(Trade_Log!$B:$B,$A25,Trade_Log!$X:$X,5)</f>
        <v/>
      </c>
      <c r="I25" s="5" t="str">
        <f>COUNTIFS(Trade_Log!$B:$B,$A25,Trade_Log!$Y:$Y,"Y")</f>
        <v/>
      </c>
      <c r="J25" s="5"/>
      <c r="K25" s="3" t="str">
        <f>IF(J25="","",J25/5)</f>
        <v/>
      </c>
      <c r="L25" s="5"/>
      <c r="M25" s="5"/>
      <c r="N25" s="0"/>
    </row>
    <row r="26" ht="20">
      <c r="A26" s="2"/>
      <c r="B26" s="5" t="str">
        <f>COUNTIFS(Trade_Log!$B:$B,$A26)</f>
        <v/>
      </c>
      <c r="C26" s="5">
        <v>2</v>
      </c>
      <c r="D26" s="5" t="str">
        <f>COUNTIFS(Trade_Log!$B:$B,$A26,Trade_Log!$W:$W,"Loss")</f>
        <v/>
      </c>
      <c r="E26" s="5">
        <v>2</v>
      </c>
      <c r="F26" s="4" t="str">
        <f>SUMIFS(Trade_Log!$U:$U,Trade_Log!$B:$B,$A26)</f>
        <v/>
      </c>
      <c r="G26" s="6" t="str">
        <f>SUMIFS(Trade_Log!$V:$V,Trade_Log!$B:$B,$A26)</f>
        <v/>
      </c>
      <c r="H26" s="5" t="str">
        <f>COUNTIFS(Trade_Log!$B:$B,$A26,Trade_Log!$X:$X,5)</f>
        <v/>
      </c>
      <c r="I26" s="5" t="str">
        <f>COUNTIFS(Trade_Log!$B:$B,$A26,Trade_Log!$Y:$Y,"Y")</f>
        <v/>
      </c>
      <c r="J26" s="5"/>
      <c r="K26" s="3" t="str">
        <f>IF(J26="","",J26/5)</f>
        <v/>
      </c>
      <c r="L26" s="5"/>
      <c r="M26" s="5"/>
      <c r="N26" s="0"/>
    </row>
    <row r="27" ht="20">
      <c r="A27" s="2"/>
      <c r="B27" s="5" t="str">
        <f>COUNTIFS(Trade_Log!$B:$B,$A27)</f>
        <v/>
      </c>
      <c r="C27" s="5">
        <v>2</v>
      </c>
      <c r="D27" s="5" t="str">
        <f>COUNTIFS(Trade_Log!$B:$B,$A27,Trade_Log!$W:$W,"Loss")</f>
        <v/>
      </c>
      <c r="E27" s="5">
        <v>2</v>
      </c>
      <c r="F27" s="4" t="str">
        <f>SUMIFS(Trade_Log!$U:$U,Trade_Log!$B:$B,$A27)</f>
        <v/>
      </c>
      <c r="G27" s="6" t="str">
        <f>SUMIFS(Trade_Log!$V:$V,Trade_Log!$B:$B,$A27)</f>
        <v/>
      </c>
      <c r="H27" s="5" t="str">
        <f>COUNTIFS(Trade_Log!$B:$B,$A27,Trade_Log!$X:$X,5)</f>
        <v/>
      </c>
      <c r="I27" s="5" t="str">
        <f>COUNTIFS(Trade_Log!$B:$B,$A27,Trade_Log!$Y:$Y,"Y")</f>
        <v/>
      </c>
      <c r="J27" s="5"/>
      <c r="K27" s="3" t="str">
        <f>IF(J27="","",J27/5)</f>
        <v/>
      </c>
      <c r="L27" s="5"/>
      <c r="M27" s="5"/>
      <c r="N27" s="0"/>
    </row>
    <row r="28" ht="20">
      <c r="A28" s="2"/>
      <c r="B28" s="5" t="str">
        <f>COUNTIFS(Trade_Log!$B:$B,$A28)</f>
        <v/>
      </c>
      <c r="C28" s="5">
        <v>2</v>
      </c>
      <c r="D28" s="5" t="str">
        <f>COUNTIFS(Trade_Log!$B:$B,$A28,Trade_Log!$W:$W,"Loss")</f>
        <v/>
      </c>
      <c r="E28" s="5">
        <v>2</v>
      </c>
      <c r="F28" s="4" t="str">
        <f>SUMIFS(Trade_Log!$U:$U,Trade_Log!$B:$B,$A28)</f>
        <v/>
      </c>
      <c r="G28" s="6" t="str">
        <f>SUMIFS(Trade_Log!$V:$V,Trade_Log!$B:$B,$A28)</f>
        <v/>
      </c>
      <c r="H28" s="5" t="str">
        <f>COUNTIFS(Trade_Log!$B:$B,$A28,Trade_Log!$X:$X,5)</f>
        <v/>
      </c>
      <c r="I28" s="5" t="str">
        <f>COUNTIFS(Trade_Log!$B:$B,$A28,Trade_Log!$Y:$Y,"Y")</f>
        <v/>
      </c>
      <c r="J28" s="5"/>
      <c r="K28" s="3" t="str">
        <f>IF(J28="","",J28/5)</f>
        <v/>
      </c>
      <c r="L28" s="5"/>
      <c r="M28" s="5"/>
      <c r="N28" s="0"/>
    </row>
    <row r="29" ht="20">
      <c r="A29" s="2"/>
      <c r="B29" s="5" t="str">
        <f>COUNTIFS(Trade_Log!$B:$B,$A29)</f>
        <v/>
      </c>
      <c r="C29" s="5">
        <v>2</v>
      </c>
      <c r="D29" s="5" t="str">
        <f>COUNTIFS(Trade_Log!$B:$B,$A29,Trade_Log!$W:$W,"Loss")</f>
        <v/>
      </c>
      <c r="E29" s="5">
        <v>2</v>
      </c>
      <c r="F29" s="4" t="str">
        <f>SUMIFS(Trade_Log!$U:$U,Trade_Log!$B:$B,$A29)</f>
        <v/>
      </c>
      <c r="G29" s="6" t="str">
        <f>SUMIFS(Trade_Log!$V:$V,Trade_Log!$B:$B,$A29)</f>
        <v/>
      </c>
      <c r="H29" s="5" t="str">
        <f>COUNTIFS(Trade_Log!$B:$B,$A29,Trade_Log!$X:$X,5)</f>
        <v/>
      </c>
      <c r="I29" s="5" t="str">
        <f>COUNTIFS(Trade_Log!$B:$B,$A29,Trade_Log!$Y:$Y,"Y")</f>
        <v/>
      </c>
      <c r="J29" s="5"/>
      <c r="K29" s="3" t="str">
        <f>IF(J29="","",J29/5)</f>
        <v/>
      </c>
      <c r="L29" s="5"/>
      <c r="M29" s="5"/>
      <c r="N29" s="0"/>
    </row>
    <row r="30" ht="20">
      <c r="A30" s="2"/>
      <c r="B30" s="5" t="str">
        <f>COUNTIFS(Trade_Log!$B:$B,$A30)</f>
        <v/>
      </c>
      <c r="C30" s="5">
        <v>2</v>
      </c>
      <c r="D30" s="5" t="str">
        <f>COUNTIFS(Trade_Log!$B:$B,$A30,Trade_Log!$W:$W,"Loss")</f>
        <v/>
      </c>
      <c r="E30" s="5">
        <v>2</v>
      </c>
      <c r="F30" s="4" t="str">
        <f>SUMIFS(Trade_Log!$U:$U,Trade_Log!$B:$B,$A30)</f>
        <v/>
      </c>
      <c r="G30" s="6" t="str">
        <f>SUMIFS(Trade_Log!$V:$V,Trade_Log!$B:$B,$A30)</f>
        <v/>
      </c>
      <c r="H30" s="5" t="str">
        <f>COUNTIFS(Trade_Log!$B:$B,$A30,Trade_Log!$X:$X,5)</f>
        <v/>
      </c>
      <c r="I30" s="5" t="str">
        <f>COUNTIFS(Trade_Log!$B:$B,$A30,Trade_Log!$Y:$Y,"Y")</f>
        <v/>
      </c>
      <c r="J30" s="5"/>
      <c r="K30" s="3" t="str">
        <f>IF(J30="","",J30/5)</f>
        <v/>
      </c>
      <c r="L30" s="5"/>
      <c r="M30" s="5"/>
      <c r="N30" s="0"/>
    </row>
    <row r="31" ht="20">
      <c r="A31" s="2"/>
      <c r="B31" s="5" t="str">
        <f>COUNTIFS(Trade_Log!$B:$B,$A31)</f>
        <v/>
      </c>
      <c r="C31" s="5">
        <v>2</v>
      </c>
      <c r="D31" s="5" t="str">
        <f>COUNTIFS(Trade_Log!$B:$B,$A31,Trade_Log!$W:$W,"Loss")</f>
        <v/>
      </c>
      <c r="E31" s="5">
        <v>2</v>
      </c>
      <c r="F31" s="4" t="str">
        <f>SUMIFS(Trade_Log!$U:$U,Trade_Log!$B:$B,$A31)</f>
        <v/>
      </c>
      <c r="G31" s="6" t="str">
        <f>SUMIFS(Trade_Log!$V:$V,Trade_Log!$B:$B,$A31)</f>
        <v/>
      </c>
      <c r="H31" s="5" t="str">
        <f>COUNTIFS(Trade_Log!$B:$B,$A31,Trade_Log!$X:$X,5)</f>
        <v/>
      </c>
      <c r="I31" s="5" t="str">
        <f>COUNTIFS(Trade_Log!$B:$B,$A31,Trade_Log!$Y:$Y,"Y")</f>
        <v/>
      </c>
      <c r="J31" s="5"/>
      <c r="K31" s="3" t="str">
        <f>IF(J31="","",J31/5)</f>
        <v/>
      </c>
      <c r="L31" s="5"/>
      <c r="M31" s="5"/>
      <c r="N31" s="0"/>
    </row>
    <row r="32" ht="20">
      <c r="A32" s="2"/>
      <c r="B32" s="5" t="str">
        <f>COUNTIFS(Trade_Log!$B:$B,$A32)</f>
        <v/>
      </c>
      <c r="C32" s="5">
        <v>2</v>
      </c>
      <c r="D32" s="5" t="str">
        <f>COUNTIFS(Trade_Log!$B:$B,$A32,Trade_Log!$W:$W,"Loss")</f>
        <v/>
      </c>
      <c r="E32" s="5">
        <v>2</v>
      </c>
      <c r="F32" s="4" t="str">
        <f>SUMIFS(Trade_Log!$U:$U,Trade_Log!$B:$B,$A32)</f>
        <v/>
      </c>
      <c r="G32" s="6" t="str">
        <f>SUMIFS(Trade_Log!$V:$V,Trade_Log!$B:$B,$A32)</f>
        <v/>
      </c>
      <c r="H32" s="5" t="str">
        <f>COUNTIFS(Trade_Log!$B:$B,$A32,Trade_Log!$X:$X,5)</f>
        <v/>
      </c>
      <c r="I32" s="5" t="str">
        <f>COUNTIFS(Trade_Log!$B:$B,$A32,Trade_Log!$Y:$Y,"Y")</f>
        <v/>
      </c>
      <c r="J32" s="5"/>
      <c r="K32" s="3" t="str">
        <f>IF(J32="","",J32/5)</f>
        <v/>
      </c>
      <c r="L32" s="5"/>
      <c r="M32" s="5"/>
      <c r="N32" s="0"/>
    </row>
    <row r="33" ht="20">
      <c r="A33" s="2"/>
      <c r="B33" s="5" t="str">
        <f>COUNTIFS(Trade_Log!$B:$B,$A33)</f>
        <v/>
      </c>
      <c r="C33" s="5">
        <v>2</v>
      </c>
      <c r="D33" s="5" t="str">
        <f>COUNTIFS(Trade_Log!$B:$B,$A33,Trade_Log!$W:$W,"Loss")</f>
        <v/>
      </c>
      <c r="E33" s="5">
        <v>2</v>
      </c>
      <c r="F33" s="4" t="str">
        <f>SUMIFS(Trade_Log!$U:$U,Trade_Log!$B:$B,$A33)</f>
        <v/>
      </c>
      <c r="G33" s="6" t="str">
        <f>SUMIFS(Trade_Log!$V:$V,Trade_Log!$B:$B,$A33)</f>
        <v/>
      </c>
      <c r="H33" s="5" t="str">
        <f>COUNTIFS(Trade_Log!$B:$B,$A33,Trade_Log!$X:$X,5)</f>
        <v/>
      </c>
      <c r="I33" s="5" t="str">
        <f>COUNTIFS(Trade_Log!$B:$B,$A33,Trade_Log!$Y:$Y,"Y")</f>
        <v/>
      </c>
      <c r="J33" s="5"/>
      <c r="K33" s="3" t="str">
        <f>IF(J33="","",J33/5)</f>
        <v/>
      </c>
      <c r="L33" s="5"/>
      <c r="M33" s="5"/>
      <c r="N33" s="0"/>
    </row>
    <row r="34" ht="20">
      <c r="A34" s="2"/>
      <c r="B34" s="5" t="str">
        <f>COUNTIFS(Trade_Log!$B:$B,$A34)</f>
        <v/>
      </c>
      <c r="C34" s="5">
        <v>2</v>
      </c>
      <c r="D34" s="5" t="str">
        <f>COUNTIFS(Trade_Log!$B:$B,$A34,Trade_Log!$W:$W,"Loss")</f>
        <v/>
      </c>
      <c r="E34" s="5">
        <v>2</v>
      </c>
      <c r="F34" s="4" t="str">
        <f>SUMIFS(Trade_Log!$U:$U,Trade_Log!$B:$B,$A34)</f>
        <v/>
      </c>
      <c r="G34" s="6" t="str">
        <f>SUMIFS(Trade_Log!$V:$V,Trade_Log!$B:$B,$A34)</f>
        <v/>
      </c>
      <c r="H34" s="5" t="str">
        <f>COUNTIFS(Trade_Log!$B:$B,$A34,Trade_Log!$X:$X,5)</f>
        <v/>
      </c>
      <c r="I34" s="5" t="str">
        <f>COUNTIFS(Trade_Log!$B:$B,$A34,Trade_Log!$Y:$Y,"Y")</f>
        <v/>
      </c>
      <c r="J34" s="5"/>
      <c r="K34" s="3" t="str">
        <f>IF(J34="","",J34/5)</f>
        <v/>
      </c>
      <c r="L34" s="5"/>
      <c r="M34" s="5"/>
      <c r="N34" s="0"/>
    </row>
    <row r="35" ht="20">
      <c r="A35" s="2"/>
      <c r="B35" s="5" t="str">
        <f>COUNTIFS(Trade_Log!$B:$B,$A35)</f>
        <v/>
      </c>
      <c r="C35" s="5">
        <v>2</v>
      </c>
      <c r="D35" s="5" t="str">
        <f>COUNTIFS(Trade_Log!$B:$B,$A35,Trade_Log!$W:$W,"Loss")</f>
        <v/>
      </c>
      <c r="E35" s="5">
        <v>2</v>
      </c>
      <c r="F35" s="4" t="str">
        <f>SUMIFS(Trade_Log!$U:$U,Trade_Log!$B:$B,$A35)</f>
        <v/>
      </c>
      <c r="G35" s="6" t="str">
        <f>SUMIFS(Trade_Log!$V:$V,Trade_Log!$B:$B,$A35)</f>
        <v/>
      </c>
      <c r="H35" s="5" t="str">
        <f>COUNTIFS(Trade_Log!$B:$B,$A35,Trade_Log!$X:$X,5)</f>
        <v/>
      </c>
      <c r="I35" s="5" t="str">
        <f>COUNTIFS(Trade_Log!$B:$B,$A35,Trade_Log!$Y:$Y,"Y")</f>
        <v/>
      </c>
      <c r="J35" s="5"/>
      <c r="K35" s="3" t="str">
        <f>IF(J35="","",J35/5)</f>
        <v/>
      </c>
      <c r="L35" s="5"/>
      <c r="M35" s="5"/>
      <c r="N35" s="0"/>
    </row>
  </sheetData>
  <conditionalFormatting sqref="K2:K35">
    <cfRule type="cellIs" dxfId="0" priority="1" operator="lessThan">
      <formula>0.9</formula>
    </cfRule>
    <cfRule type="cellIs" dxfId="1" priority="2" operator="greaterThanOrEqual">
      <formula>0.95</formula>
    </cfRule>
  </conditionalFormatting>
  <dataValidations count="1">
    <dataValidation type="list" allowBlank="1" showInputMessage="1" showErrorMessage="1" sqref="L2:M35">
      <formula1>"Y,N"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dimension ref="A1:P1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3" customWidth="1"/>
    <col min="3" max="3" width="10" customWidth="1"/>
    <col min="4" max="4" width="10" customWidth="1"/>
    <col min="5" max="5" width="10" customWidth="1"/>
    <col min="6" max="6" width="12" customWidth="1"/>
    <col min="7" max="7" width="14" customWidth="1"/>
    <col min="8" max="8" width="10" customWidth="1"/>
    <col min="9" max="9" width="14" customWidth="1"/>
    <col min="10" max="10" width="23" customWidth="1"/>
    <col min="11" max="11" width="12" customWidth="1"/>
    <col min="12" max="12" width="16" customWidth="1"/>
    <col min="13" max="13" width="18" customWidth="1"/>
    <col min="14" max="14" width="18" customWidth="1"/>
    <col min="15" max="15" width="35" customWidth="1"/>
    <col min="16" max="16" width="35" customWidth="1"/>
  </cols>
  <sheetData>
    <row r="1" ht="28" customHeight="1">
      <c r="A1" s="1" t="inlineStr">
        <is>
          <t>Week_Start</t>
        </is>
      </c>
      <c r="B1" s="1" t="inlineStr">
        <is>
          <t>Week_End</t>
        </is>
      </c>
      <c r="C1" s="1" t="inlineStr">
        <is>
          <t>Trades</t>
        </is>
      </c>
      <c r="D1" s="1" t="inlineStr">
        <is>
          <t>Wins</t>
        </is>
      </c>
      <c r="E1" s="1" t="inlineStr">
        <is>
          <t>Losses</t>
        </is>
      </c>
      <c r="F1" s="1" t="inlineStr">
        <is>
          <t>Win_Rate</t>
        </is>
      </c>
      <c r="G1" s="1" t="inlineStr">
        <is>
          <t>Net_PnL</t>
        </is>
      </c>
      <c r="H1" s="1" t="inlineStr">
        <is>
          <t>Avg_R</t>
        </is>
      </c>
      <c r="I1" s="1" t="inlineStr">
        <is>
          <t>Expectancy_R</t>
        </is>
      </c>
      <c r="J1" s="1" t="inlineStr">
        <is>
          <t>Checklist_Adherence_Pct</t>
        </is>
      </c>
      <c r="K1" s="1" t="inlineStr">
        <is>
          <t>Violations</t>
        </is>
      </c>
      <c r="L1" s="1" t="inlineStr">
        <is>
          <t>Revenge_Trades</t>
        </is>
      </c>
      <c r="M1" s="1" t="inlineStr">
        <is>
          <t>Best_Time_Window</t>
        </is>
      </c>
      <c r="N1" s="1" t="inlineStr">
        <is>
          <t>Worst_Time_Window</t>
        </is>
      </c>
      <c r="O1" s="1" t="inlineStr">
        <is>
          <t>Top_Mistake</t>
        </is>
      </c>
      <c r="P1" s="1" t="inlineStr">
        <is>
          <t>Rule_To_Tighten</t>
        </is>
      </c>
    </row>
    <row r="2" ht="20">
      <c r="A2" s="2" t="inlineStr">
        <is>
          <t>2026-10-19</t>
        </is>
      </c>
      <c r="B2" s="2" t="inlineStr">
        <is>
          <t>2026-10-23</t>
        </is>
      </c>
      <c r="C2" s="5">
        <f>COUNTIFS(Trade_Log!$B:$B,"&gt;="&amp;$A2,Trade_Log!$B:$B,"&lt;="&amp;$B2)</f>
        <v>3</v>
      </c>
      <c r="D2" s="5">
        <f>COUNTIFS(Trade_Log!$B:$B,"&gt;="&amp;$A2,Trade_Log!$B:$B,"&lt;="&amp;$B2,Trade_Log!$W:$W,"Win")</f>
        <v>2</v>
      </c>
      <c r="E2" s="5">
        <f>COUNTIFS(Trade_Log!$B:$B,"&gt;="&amp;$A2,Trade_Log!$B:$B,"&lt;="&amp;$B2,Trade_Log!$W:$W,"Loss")</f>
        <v>1</v>
      </c>
      <c r="F2" s="3">
        <f>IF(C2=0,"",D2/C2)</f>
        <v>0.667</v>
      </c>
      <c r="G2" s="4">
        <f>SUMIFS(Trade_Log!$U:$U,Trade_Log!$B:$B,"&gt;="&amp;$A2,Trade_Log!$B:$B,"&lt;="&amp;$B2)</f>
        <v>1365.0</v>
      </c>
      <c r="H2" s="6">
        <f>IFERROR(AVERAGEIFS(Trade_Log!$V:$V,Trade_Log!$B:$B,"&gt;="&amp;$A2,Trade_Log!$B:$B,"&lt;="&amp;$B2),"")</f>
        <v>0.91</v>
      </c>
      <c r="I2" s="6">
        <f>IF(C2=0,"",SUMIFS(Trade_Log!$V:$V,Trade_Log!$B:$B,"&gt;="&amp;$A2,Trade_Log!$B:$B,"&lt;="&amp;$B2)/C2)</f>
        <v>0.91</v>
      </c>
      <c r="J2" s="3">
        <f>IF(C2=0,"",COUNTIFS(Trade_Log!$B:$B,"&gt;="&amp;$A2,Trade_Log!$B:$B,"&lt;="&amp;$B2,Trade_Log!$X:$X,5)/C2)</f>
        <v>1.0</v>
      </c>
      <c r="K2" s="5">
        <f>COUNTIFS(Trade_Log!$B:$B,"&gt;="&amp;$A2,Trade_Log!$B:$B,"&lt;="&amp;$B2,Trade_Log!$Y:$Y,"Y")</f>
        <v>0</v>
      </c>
      <c r="L2" s="5">
        <f>COUNTIFS(Trade_Log!$B:$B,"&gt;="&amp;$A2,Trade_Log!$B:$B,"&lt;="&amp;$B2,Trade_Log!$Z:$Z,"Revenge")</f>
        <v>0</v>
      </c>
      <c r="M2" s="5" t="inlineStr">
        <is>
          <t>09:30-10:30</t>
        </is>
      </c>
      <c r="N2" s="5" t="inlineStr">
        <is>
          <t>None</t>
        </is>
      </c>
      <c r="O2" s="0" t="inlineStr">
        <is>
          <t>[EXAMPLE] None (Adherence maintained)</t>
        </is>
      </c>
      <c r="P2" s="0" t="inlineStr">
        <is>
          <t>Maintain 30-min cooldown after any loss</t>
        </is>
      </c>
    </row>
    <row r="3" ht="20">
      <c r="A3" s="2"/>
      <c r="B3" s="2"/>
      <c r="C3" s="5" t="str">
        <f>COUNTIFS(Trade_Log!$B:$B,"&gt;="&amp;$A3,Trade_Log!$B:$B,"&lt;="&amp;$B3)</f>
        <v/>
      </c>
      <c r="D3" s="5" t="str">
        <f>COUNTIFS(Trade_Log!$B:$B,"&gt;="&amp;$A3,Trade_Log!$B:$B,"&lt;="&amp;$B3,Trade_Log!$W:$W,"Win")</f>
        <v/>
      </c>
      <c r="E3" s="5" t="str">
        <f>COUNTIFS(Trade_Log!$B:$B,"&gt;="&amp;$A3,Trade_Log!$B:$B,"&lt;="&amp;$B3,Trade_Log!$W:$W,"Loss")</f>
        <v/>
      </c>
      <c r="F3" s="3" t="str">
        <f>IF(C3=0,"",D3/C3)</f>
        <v/>
      </c>
      <c r="G3" s="4" t="str">
        <f>SUMIFS(Trade_Log!$U:$U,Trade_Log!$B:$B,"&gt;="&amp;$A3,Trade_Log!$B:$B,"&lt;="&amp;$B3)</f>
        <v/>
      </c>
      <c r="H3" s="6" t="str">
        <f>IFERROR(AVERAGEIFS(Trade_Log!$V:$V,Trade_Log!$B:$B,"&gt;="&amp;$A3,Trade_Log!$B:$B,"&lt;="&amp;$B3),"")</f>
        <v/>
      </c>
      <c r="I3" s="6" t="str">
        <f>IF(C3=0,"",SUMIFS(Trade_Log!$V:$V,Trade_Log!$B:$B,"&gt;="&amp;$A3,Trade_Log!$B:$B,"&lt;="&amp;$B3)/C3)</f>
        <v/>
      </c>
      <c r="J3" s="3" t="str">
        <f>IF(C3=0,"",COUNTIFS(Trade_Log!$B:$B,"&gt;="&amp;$A3,Trade_Log!$B:$B,"&lt;="&amp;$B3,Trade_Log!$X:$X,5)/C3)</f>
        <v/>
      </c>
      <c r="K3" s="5" t="str">
        <f>COUNTIFS(Trade_Log!$B:$B,"&gt;="&amp;$A3,Trade_Log!$B:$B,"&lt;="&amp;$B3,Trade_Log!$Y:$Y,"Y")</f>
        <v/>
      </c>
      <c r="L3" s="5" t="str">
        <f>COUNTIFS(Trade_Log!$B:$B,"&gt;="&amp;$A3,Trade_Log!$B:$B,"&lt;="&amp;$B3,Trade_Log!$Z:$Z,"Revenge")</f>
        <v/>
      </c>
      <c r="M3" s="5"/>
      <c r="N3" s="5"/>
      <c r="O3" s="0"/>
      <c r="P3" s="0"/>
    </row>
    <row r="4" ht="20">
      <c r="A4" s="2"/>
      <c r="B4" s="2"/>
      <c r="C4" s="5" t="str">
        <f>COUNTIFS(Trade_Log!$B:$B,"&gt;="&amp;$A4,Trade_Log!$B:$B,"&lt;="&amp;$B4)</f>
        <v/>
      </c>
      <c r="D4" s="5" t="str">
        <f>COUNTIFS(Trade_Log!$B:$B,"&gt;="&amp;$A4,Trade_Log!$B:$B,"&lt;="&amp;$B4,Trade_Log!$W:$W,"Win")</f>
        <v/>
      </c>
      <c r="E4" s="5" t="str">
        <f>COUNTIFS(Trade_Log!$B:$B,"&gt;="&amp;$A4,Trade_Log!$B:$B,"&lt;="&amp;$B4,Trade_Log!$W:$W,"Loss")</f>
        <v/>
      </c>
      <c r="F4" s="3" t="str">
        <f>IF(C4=0,"",D4/C4)</f>
        <v/>
      </c>
      <c r="G4" s="4" t="str">
        <f>SUMIFS(Trade_Log!$U:$U,Trade_Log!$B:$B,"&gt;="&amp;$A4,Trade_Log!$B:$B,"&lt;="&amp;$B4)</f>
        <v/>
      </c>
      <c r="H4" s="6" t="str">
        <f>IFERROR(AVERAGEIFS(Trade_Log!$V:$V,Trade_Log!$B:$B,"&gt;="&amp;$A4,Trade_Log!$B:$B,"&lt;="&amp;$B4),"")</f>
        <v/>
      </c>
      <c r="I4" s="6" t="str">
        <f>IF(C4=0,"",SUMIFS(Trade_Log!$V:$V,Trade_Log!$B:$B,"&gt;="&amp;$A4,Trade_Log!$B:$B,"&lt;="&amp;$B4)/C4)</f>
        <v/>
      </c>
      <c r="J4" s="3" t="str">
        <f>IF(C4=0,"",COUNTIFS(Trade_Log!$B:$B,"&gt;="&amp;$A4,Trade_Log!$B:$B,"&lt;="&amp;$B4,Trade_Log!$X:$X,5)/C4)</f>
        <v/>
      </c>
      <c r="K4" s="5" t="str">
        <f>COUNTIFS(Trade_Log!$B:$B,"&gt;="&amp;$A4,Trade_Log!$B:$B,"&lt;="&amp;$B4,Trade_Log!$Y:$Y,"Y")</f>
        <v/>
      </c>
      <c r="L4" s="5" t="str">
        <f>COUNTIFS(Trade_Log!$B:$B,"&gt;="&amp;$A4,Trade_Log!$B:$B,"&lt;="&amp;$B4,Trade_Log!$Z:$Z,"Revenge")</f>
        <v/>
      </c>
      <c r="M4" s="5"/>
      <c r="N4" s="5"/>
      <c r="O4" s="0"/>
      <c r="P4" s="0"/>
    </row>
    <row r="5" ht="20">
      <c r="A5" s="2"/>
      <c r="B5" s="2"/>
      <c r="C5" s="5" t="str">
        <f>COUNTIFS(Trade_Log!$B:$B,"&gt;="&amp;$A5,Trade_Log!$B:$B,"&lt;="&amp;$B5)</f>
        <v/>
      </c>
      <c r="D5" s="5" t="str">
        <f>COUNTIFS(Trade_Log!$B:$B,"&gt;="&amp;$A5,Trade_Log!$B:$B,"&lt;="&amp;$B5,Trade_Log!$W:$W,"Win")</f>
        <v/>
      </c>
      <c r="E5" s="5" t="str">
        <f>COUNTIFS(Trade_Log!$B:$B,"&gt;="&amp;$A5,Trade_Log!$B:$B,"&lt;="&amp;$B5,Trade_Log!$W:$W,"Loss")</f>
        <v/>
      </c>
      <c r="F5" s="3" t="str">
        <f>IF(C5=0,"",D5/C5)</f>
        <v/>
      </c>
      <c r="G5" s="4" t="str">
        <f>SUMIFS(Trade_Log!$U:$U,Trade_Log!$B:$B,"&gt;="&amp;$A5,Trade_Log!$B:$B,"&lt;="&amp;$B5)</f>
        <v/>
      </c>
      <c r="H5" s="6" t="str">
        <f>IFERROR(AVERAGEIFS(Trade_Log!$V:$V,Trade_Log!$B:$B,"&gt;="&amp;$A5,Trade_Log!$B:$B,"&lt;="&amp;$B5),"")</f>
        <v/>
      </c>
      <c r="I5" s="6" t="str">
        <f>IF(C5=0,"",SUMIFS(Trade_Log!$V:$V,Trade_Log!$B:$B,"&gt;="&amp;$A5,Trade_Log!$B:$B,"&lt;="&amp;$B5)/C5)</f>
        <v/>
      </c>
      <c r="J5" s="3" t="str">
        <f>IF(C5=0,"",COUNTIFS(Trade_Log!$B:$B,"&gt;="&amp;$A5,Trade_Log!$B:$B,"&lt;="&amp;$B5,Trade_Log!$X:$X,5)/C5)</f>
        <v/>
      </c>
      <c r="K5" s="5" t="str">
        <f>COUNTIFS(Trade_Log!$B:$B,"&gt;="&amp;$A5,Trade_Log!$B:$B,"&lt;="&amp;$B5,Trade_Log!$Y:$Y,"Y")</f>
        <v/>
      </c>
      <c r="L5" s="5" t="str">
        <f>COUNTIFS(Trade_Log!$B:$B,"&gt;="&amp;$A5,Trade_Log!$B:$B,"&lt;="&amp;$B5,Trade_Log!$Z:$Z,"Revenge")</f>
        <v/>
      </c>
      <c r="M5" s="5"/>
      <c r="N5" s="5"/>
      <c r="O5" s="0"/>
      <c r="P5" s="0"/>
    </row>
    <row r="6" ht="20">
      <c r="A6" s="2"/>
      <c r="B6" s="2"/>
      <c r="C6" s="5" t="str">
        <f>COUNTIFS(Trade_Log!$B:$B,"&gt;="&amp;$A6,Trade_Log!$B:$B,"&lt;="&amp;$B6)</f>
        <v/>
      </c>
      <c r="D6" s="5" t="str">
        <f>COUNTIFS(Trade_Log!$B:$B,"&gt;="&amp;$A6,Trade_Log!$B:$B,"&lt;="&amp;$B6,Trade_Log!$W:$W,"Win")</f>
        <v/>
      </c>
      <c r="E6" s="5" t="str">
        <f>COUNTIFS(Trade_Log!$B:$B,"&gt;="&amp;$A6,Trade_Log!$B:$B,"&lt;="&amp;$B6,Trade_Log!$W:$W,"Loss")</f>
        <v/>
      </c>
      <c r="F6" s="3" t="str">
        <f>IF(C6=0,"",D6/C6)</f>
        <v/>
      </c>
      <c r="G6" s="4" t="str">
        <f>SUMIFS(Trade_Log!$U:$U,Trade_Log!$B:$B,"&gt;="&amp;$A6,Trade_Log!$B:$B,"&lt;="&amp;$B6)</f>
        <v/>
      </c>
      <c r="H6" s="6" t="str">
        <f>IFERROR(AVERAGEIFS(Trade_Log!$V:$V,Trade_Log!$B:$B,"&gt;="&amp;$A6,Trade_Log!$B:$B,"&lt;="&amp;$B6),"")</f>
        <v/>
      </c>
      <c r="I6" s="6" t="str">
        <f>IF(C6=0,"",SUMIFS(Trade_Log!$V:$V,Trade_Log!$B:$B,"&gt;="&amp;$A6,Trade_Log!$B:$B,"&lt;="&amp;$B6)/C6)</f>
        <v/>
      </c>
      <c r="J6" s="3" t="str">
        <f>IF(C6=0,"",COUNTIFS(Trade_Log!$B:$B,"&gt;="&amp;$A6,Trade_Log!$B:$B,"&lt;="&amp;$B6,Trade_Log!$X:$X,5)/C6)</f>
        <v/>
      </c>
      <c r="K6" s="5" t="str">
        <f>COUNTIFS(Trade_Log!$B:$B,"&gt;="&amp;$A6,Trade_Log!$B:$B,"&lt;="&amp;$B6,Trade_Log!$Y:$Y,"Y")</f>
        <v/>
      </c>
      <c r="L6" s="5" t="str">
        <f>COUNTIFS(Trade_Log!$B:$B,"&gt;="&amp;$A6,Trade_Log!$B:$B,"&lt;="&amp;$B6,Trade_Log!$Z:$Z,"Revenge")</f>
        <v/>
      </c>
      <c r="M6" s="5"/>
      <c r="N6" s="5"/>
      <c r="O6" s="0"/>
      <c r="P6" s="0"/>
    </row>
    <row r="7" ht="20">
      <c r="A7" s="2"/>
      <c r="B7" s="2"/>
      <c r="C7" s="5" t="str">
        <f>COUNTIFS(Trade_Log!$B:$B,"&gt;="&amp;$A7,Trade_Log!$B:$B,"&lt;="&amp;$B7)</f>
        <v/>
      </c>
      <c r="D7" s="5" t="str">
        <f>COUNTIFS(Trade_Log!$B:$B,"&gt;="&amp;$A7,Trade_Log!$B:$B,"&lt;="&amp;$B7,Trade_Log!$W:$W,"Win")</f>
        <v/>
      </c>
      <c r="E7" s="5" t="str">
        <f>COUNTIFS(Trade_Log!$B:$B,"&gt;="&amp;$A7,Trade_Log!$B:$B,"&lt;="&amp;$B7,Trade_Log!$W:$W,"Loss")</f>
        <v/>
      </c>
      <c r="F7" s="3" t="str">
        <f>IF(C7=0,"",D7/C7)</f>
        <v/>
      </c>
      <c r="G7" s="4" t="str">
        <f>SUMIFS(Trade_Log!$U:$U,Trade_Log!$B:$B,"&gt;="&amp;$A7,Trade_Log!$B:$B,"&lt;="&amp;$B7)</f>
        <v/>
      </c>
      <c r="H7" s="6" t="str">
        <f>IFERROR(AVERAGEIFS(Trade_Log!$V:$V,Trade_Log!$B:$B,"&gt;="&amp;$A7,Trade_Log!$B:$B,"&lt;="&amp;$B7),"")</f>
        <v/>
      </c>
      <c r="I7" s="6" t="str">
        <f>IF(C7=0,"",SUMIFS(Trade_Log!$V:$V,Trade_Log!$B:$B,"&gt;="&amp;$A7,Trade_Log!$B:$B,"&lt;="&amp;$B7)/C7)</f>
        <v/>
      </c>
      <c r="J7" s="3" t="str">
        <f>IF(C7=0,"",COUNTIFS(Trade_Log!$B:$B,"&gt;="&amp;$A7,Trade_Log!$B:$B,"&lt;="&amp;$B7,Trade_Log!$X:$X,5)/C7)</f>
        <v/>
      </c>
      <c r="K7" s="5" t="str">
        <f>COUNTIFS(Trade_Log!$B:$B,"&gt;="&amp;$A7,Trade_Log!$B:$B,"&lt;="&amp;$B7,Trade_Log!$Y:$Y,"Y")</f>
        <v/>
      </c>
      <c r="L7" s="5" t="str">
        <f>COUNTIFS(Trade_Log!$B:$B,"&gt;="&amp;$A7,Trade_Log!$B:$B,"&lt;="&amp;$B7,Trade_Log!$Z:$Z,"Revenge")</f>
        <v/>
      </c>
      <c r="M7" s="5"/>
      <c r="N7" s="5"/>
      <c r="O7" s="0"/>
      <c r="P7" s="0"/>
    </row>
    <row r="8" ht="20">
      <c r="A8" s="2"/>
      <c r="B8" s="2"/>
      <c r="C8" s="5" t="str">
        <f>COUNTIFS(Trade_Log!$B:$B,"&gt;="&amp;$A8,Trade_Log!$B:$B,"&lt;="&amp;$B8)</f>
        <v/>
      </c>
      <c r="D8" s="5" t="str">
        <f>COUNTIFS(Trade_Log!$B:$B,"&gt;="&amp;$A8,Trade_Log!$B:$B,"&lt;="&amp;$B8,Trade_Log!$W:$W,"Win")</f>
        <v/>
      </c>
      <c r="E8" s="5" t="str">
        <f>COUNTIFS(Trade_Log!$B:$B,"&gt;="&amp;$A8,Trade_Log!$B:$B,"&lt;="&amp;$B8,Trade_Log!$W:$W,"Loss")</f>
        <v/>
      </c>
      <c r="F8" s="3" t="str">
        <f>IF(C8=0,"",D8/C8)</f>
        <v/>
      </c>
      <c r="G8" s="4" t="str">
        <f>SUMIFS(Trade_Log!$U:$U,Trade_Log!$B:$B,"&gt;="&amp;$A8,Trade_Log!$B:$B,"&lt;="&amp;$B8)</f>
        <v/>
      </c>
      <c r="H8" s="6" t="str">
        <f>IFERROR(AVERAGEIFS(Trade_Log!$V:$V,Trade_Log!$B:$B,"&gt;="&amp;$A8,Trade_Log!$B:$B,"&lt;="&amp;$B8),"")</f>
        <v/>
      </c>
      <c r="I8" s="6" t="str">
        <f>IF(C8=0,"",SUMIFS(Trade_Log!$V:$V,Trade_Log!$B:$B,"&gt;="&amp;$A8,Trade_Log!$B:$B,"&lt;="&amp;$B8)/C8)</f>
        <v/>
      </c>
      <c r="J8" s="3" t="str">
        <f>IF(C8=0,"",COUNTIFS(Trade_Log!$B:$B,"&gt;="&amp;$A8,Trade_Log!$B:$B,"&lt;="&amp;$B8,Trade_Log!$X:$X,5)/C8)</f>
        <v/>
      </c>
      <c r="K8" s="5" t="str">
        <f>COUNTIFS(Trade_Log!$B:$B,"&gt;="&amp;$A8,Trade_Log!$B:$B,"&lt;="&amp;$B8,Trade_Log!$Y:$Y,"Y")</f>
        <v/>
      </c>
      <c r="L8" s="5" t="str">
        <f>COUNTIFS(Trade_Log!$B:$B,"&gt;="&amp;$A8,Trade_Log!$B:$B,"&lt;="&amp;$B8,Trade_Log!$Z:$Z,"Revenge")</f>
        <v/>
      </c>
      <c r="M8" s="5"/>
      <c r="N8" s="5"/>
      <c r="O8" s="0"/>
      <c r="P8" s="0"/>
    </row>
    <row r="9" ht="20">
      <c r="A9" s="2"/>
      <c r="B9" s="2"/>
      <c r="C9" s="5" t="str">
        <f>COUNTIFS(Trade_Log!$B:$B,"&gt;="&amp;$A9,Trade_Log!$B:$B,"&lt;="&amp;$B9)</f>
        <v/>
      </c>
      <c r="D9" s="5" t="str">
        <f>COUNTIFS(Trade_Log!$B:$B,"&gt;="&amp;$A9,Trade_Log!$B:$B,"&lt;="&amp;$B9,Trade_Log!$W:$W,"Win")</f>
        <v/>
      </c>
      <c r="E9" s="5" t="str">
        <f>COUNTIFS(Trade_Log!$B:$B,"&gt;="&amp;$A9,Trade_Log!$B:$B,"&lt;="&amp;$B9,Trade_Log!$W:$W,"Loss")</f>
        <v/>
      </c>
      <c r="F9" s="3" t="str">
        <f>IF(C9=0,"",D9/C9)</f>
        <v/>
      </c>
      <c r="G9" s="4" t="str">
        <f>SUMIFS(Trade_Log!$U:$U,Trade_Log!$B:$B,"&gt;="&amp;$A9,Trade_Log!$B:$B,"&lt;="&amp;$B9)</f>
        <v/>
      </c>
      <c r="H9" s="6" t="str">
        <f>IFERROR(AVERAGEIFS(Trade_Log!$V:$V,Trade_Log!$B:$B,"&gt;="&amp;$A9,Trade_Log!$B:$B,"&lt;="&amp;$B9),"")</f>
        <v/>
      </c>
      <c r="I9" s="6" t="str">
        <f>IF(C9=0,"",SUMIFS(Trade_Log!$V:$V,Trade_Log!$B:$B,"&gt;="&amp;$A9,Trade_Log!$B:$B,"&lt;="&amp;$B9)/C9)</f>
        <v/>
      </c>
      <c r="J9" s="3" t="str">
        <f>IF(C9=0,"",COUNTIFS(Trade_Log!$B:$B,"&gt;="&amp;$A9,Trade_Log!$B:$B,"&lt;="&amp;$B9,Trade_Log!$X:$X,5)/C9)</f>
        <v/>
      </c>
      <c r="K9" s="5" t="str">
        <f>COUNTIFS(Trade_Log!$B:$B,"&gt;="&amp;$A9,Trade_Log!$B:$B,"&lt;="&amp;$B9,Trade_Log!$Y:$Y,"Y")</f>
        <v/>
      </c>
      <c r="L9" s="5" t="str">
        <f>COUNTIFS(Trade_Log!$B:$B,"&gt;="&amp;$A9,Trade_Log!$B:$B,"&lt;="&amp;$B9,Trade_Log!$Z:$Z,"Revenge")</f>
        <v/>
      </c>
      <c r="M9" s="5"/>
      <c r="N9" s="5"/>
      <c r="O9" s="0"/>
      <c r="P9" s="0"/>
    </row>
  </sheetData>
  <conditionalFormatting sqref="J2:J10">
    <cfRule type="cellIs" dxfId="0" priority="1" operator="lessThan">
      <formula>0.9</formula>
    </cfRule>
  </conditionalFormatting>
</worksheet>
</file>

<file path=xl/worksheets/sheet4.xml><?xml version="1.0" encoding="utf-8"?>
<worksheet xmlns="http://schemas.openxmlformats.org/spreadsheetml/2006/main" xmlns:r="http://schemas.openxmlformats.org/officeDocument/2006/relationships">
  <dimension ref="A1:M30"/>
  <sheetViews>
    <sheetView tabSelected="1" workbookViewId="0">
      <pane ySplit="1" topLeftCell="A2" activePane="bottomLeft" state="frozen"/>
    </sheetView>
  </sheetViews>
  <sheetFormatPr defaultRowHeight="20"/>
  <cols>
    <col min="1" max="1" width="13" customWidth="1"/>
    <col min="2" max="2" width="18" customWidth="1"/>
    <col min="3" max="3" width="12" customWidth="1"/>
    <col min="4" max="4" width="22" customWidth="1"/>
    <col min="5" max="5" width="35" customWidth="1"/>
    <col min="6" max="6" width="35" customWidth="1"/>
    <col min="7" max="7" width="15" customWidth="1"/>
    <col min="8" max="8" width="15" customWidth="1"/>
    <col min="9" max="9" width="15" customWidth="1"/>
    <col min="10" max="10" width="15" customWidth="1"/>
    <col min="11" max="11" width="35" customWidth="1"/>
    <col min="12" max="12" width="35" customWidth="1"/>
    <col min="13" max="13" width="30" customWidth="1"/>
  </cols>
  <sheetData>
    <row r="1" ht="28" customHeight="1">
      <c r="A1" s="1" t="inlineStr">
        <is>
          <t>Date</t>
        </is>
      </c>
      <c r="B1" s="1" t="inlineStr">
        <is>
          <t>Trade_ID</t>
        </is>
      </c>
      <c r="C1" s="1" t="inlineStr">
        <is>
          <t>Symbol</t>
        </is>
      </c>
      <c r="D1" s="1" t="inlineStr">
        <is>
          <t>Setup</t>
        </is>
      </c>
      <c r="E1" s="1" t="inlineStr">
        <is>
          <t>What_I_Saw</t>
        </is>
      </c>
      <c r="F1" s="1" t="inlineStr">
        <is>
          <t>Why_I_Entered</t>
        </is>
      </c>
      <c r="G1" s="1" t="inlineStr">
        <is>
          <t>Emotion_Before</t>
        </is>
      </c>
      <c r="H1" s="1" t="inlineStr">
        <is>
          <t>Emotion_During</t>
        </is>
      </c>
      <c r="I1" s="1" t="inlineStr">
        <is>
          <t>Emotion_After</t>
        </is>
      </c>
      <c r="J1" s="1" t="inlineStr">
        <is>
          <t>Rule_Violation</t>
        </is>
      </c>
      <c r="K1" s="1" t="inlineStr">
        <is>
          <t>What_I_Did_Well</t>
        </is>
      </c>
      <c r="L1" s="1" t="inlineStr">
        <is>
          <t>What_Ill_Do_Differently</t>
        </is>
      </c>
      <c r="M1" s="1" t="inlineStr">
        <is>
          <t>Screenshot_Link</t>
        </is>
      </c>
    </row>
    <row r="2" ht="20">
      <c r="A2" s="2" t="inlineStr">
        <is>
          <t>2026-10-20</t>
        </is>
      </c>
      <c r="B2" s="5" t="inlineStr">
        <is>
          <t>T-001 [EXAMPLE]</t>
        </is>
      </c>
      <c r="C2" s="5" t="inlineStr">
        <is>
          <t>RELIANCE</t>
        </is>
      </c>
      <c r="D2" s="0" t="inlineStr">
        <is>
          <t>1m Pullback to 9EMA</t>
        </is>
      </c>
      <c r="E2" s="0" t="inlineStr">
        <is>
          <t>Higher timeframe 15m trend bullish. 1m scanner alert fired at 09:33. Clean flag pullback into 9EMA with low volume.</t>
        </is>
      </c>
      <c r="F2" s="0" t="inlineStr">
        <is>
          <t>Price rejected 9EMA with bullish pinbar. Limit order placed at 2500, stop at 2495 (5 pts risk), target 2510 (2R).</t>
        </is>
      </c>
      <c r="G2" s="5">
        <v>2</v>
      </c>
      <c r="H2" s="5">
        <v>3</v>
      </c>
      <c r="I2" s="5">
        <v>2</v>
      </c>
      <c r="J2" s="5" t="inlineStr">
        <is>
          <t>N</t>
        </is>
      </c>
      <c r="K2" s="0" t="inlineStr">
        <is>
          <t>Did not market order chase. Waited for limit fill. Handled target passively.</t>
        </is>
      </c>
      <c r="L2" s="0" t="inlineStr">
        <is>
          <t>Trail stop after 1.5R to breakeven faster.</t>
        </is>
      </c>
      <c r="M2" s="0" t="inlineStr">
        <is>
          <t>https://tradingview.com/x/example1</t>
        </is>
      </c>
    </row>
    <row r="3" ht="20">
      <c r="A3" s="2" t="inlineStr">
        <is>
          <t>2026-10-20</t>
        </is>
      </c>
      <c r="B3" s="5" t="inlineStr">
        <is>
          <t>T-002 [EXAMPLE]</t>
        </is>
      </c>
      <c r="C3" s="5" t="inlineStr">
        <is>
          <t>TCS</t>
        </is>
      </c>
      <c r="D3" s="0" t="inlineStr">
        <is>
          <t>1m Breakdown Re-test</t>
        </is>
      </c>
      <c r="E3" s="0" t="inlineStr">
        <is>
          <t>15m trend downward. 1m scanner alerted breakdown of opening range. Retest of 3500 resistance.</t>
        </is>
      </c>
      <c r="F3" s="0" t="inlineStr">
        <is>
          <t>Bearish engulfing on 1m at resistance. Stop at 3510, target 3480.</t>
        </is>
      </c>
      <c r="G3" s="5">
        <v>3</v>
      </c>
      <c r="H3" s="5">
        <v>4</v>
      </c>
      <c r="I3" s="5">
        <v>3</v>
      </c>
      <c r="J3" s="5" t="inlineStr">
        <is>
          <t>N</t>
        </is>
      </c>
      <c r="K3" s="0" t="inlineStr">
        <is>
          <t>Took loss immediately at stop without moving it. Stepped away from screen for 30 minutes.</t>
        </is>
      </c>
      <c r="L3" s="0" t="inlineStr">
        <is>
          <t>Check sectoral index weakness before taking individual stock short.</t>
        </is>
      </c>
      <c r="M3" s="0" t="inlineStr">
        <is>
          <t>https://tradingview.com/x/example2</t>
        </is>
      </c>
    </row>
    <row r="4" ht="20">
      <c r="A4" s="2"/>
      <c r="B4" s="5"/>
      <c r="C4" s="5"/>
      <c r="D4" s="0"/>
      <c r="E4" s="0"/>
      <c r="F4" s="0"/>
      <c r="G4" s="5"/>
      <c r="H4" s="5"/>
      <c r="I4" s="5"/>
      <c r="J4" s="5"/>
      <c r="K4" s="0"/>
      <c r="L4" s="0"/>
      <c r="M4" s="0"/>
    </row>
    <row r="5" ht="20">
      <c r="A5" s="2"/>
      <c r="B5" s="5"/>
      <c r="C5" s="5"/>
      <c r="D5" s="0"/>
      <c r="E5" s="0"/>
      <c r="F5" s="0"/>
      <c r="G5" s="5"/>
      <c r="H5" s="5"/>
      <c r="I5" s="5"/>
      <c r="J5" s="5"/>
      <c r="K5" s="0"/>
      <c r="L5" s="0"/>
      <c r="M5" s="0"/>
    </row>
    <row r="6" ht="20">
      <c r="A6" s="2"/>
      <c r="B6" s="5"/>
      <c r="C6" s="5"/>
      <c r="D6" s="0"/>
      <c r="E6" s="0"/>
      <c r="F6" s="0"/>
      <c r="G6" s="5"/>
      <c r="H6" s="5"/>
      <c r="I6" s="5"/>
      <c r="J6" s="5"/>
      <c r="K6" s="0"/>
      <c r="L6" s="0"/>
      <c r="M6" s="0"/>
    </row>
    <row r="7" ht="20">
      <c r="A7" s="2"/>
      <c r="B7" s="5"/>
      <c r="C7" s="5"/>
      <c r="D7" s="0"/>
      <c r="E7" s="0"/>
      <c r="F7" s="0"/>
      <c r="G7" s="5"/>
      <c r="H7" s="5"/>
      <c r="I7" s="5"/>
      <c r="J7" s="5"/>
      <c r="K7" s="0"/>
      <c r="L7" s="0"/>
      <c r="M7" s="0"/>
    </row>
    <row r="8" ht="20">
      <c r="A8" s="2"/>
      <c r="B8" s="5"/>
      <c r="C8" s="5"/>
      <c r="D8" s="0"/>
      <c r="E8" s="0"/>
      <c r="F8" s="0"/>
      <c r="G8" s="5"/>
      <c r="H8" s="5"/>
      <c r="I8" s="5"/>
      <c r="J8" s="5"/>
      <c r="K8" s="0"/>
      <c r="L8" s="0"/>
      <c r="M8" s="0"/>
    </row>
    <row r="9" ht="20">
      <c r="A9" s="2"/>
      <c r="B9" s="5"/>
      <c r="C9" s="5"/>
      <c r="D9" s="0"/>
      <c r="E9" s="0"/>
      <c r="F9" s="0"/>
      <c r="G9" s="5"/>
      <c r="H9" s="5"/>
      <c r="I9" s="5"/>
      <c r="J9" s="5"/>
      <c r="K9" s="0"/>
      <c r="L9" s="0"/>
      <c r="M9" s="0"/>
    </row>
    <row r="10" ht="20">
      <c r="A10" s="2"/>
      <c r="B10" s="5"/>
      <c r="C10" s="5"/>
      <c r="D10" s="0"/>
      <c r="E10" s="0"/>
      <c r="F10" s="0"/>
      <c r="G10" s="5"/>
      <c r="H10" s="5"/>
      <c r="I10" s="5"/>
      <c r="J10" s="5"/>
      <c r="K10" s="0"/>
      <c r="L10" s="0"/>
      <c r="M10" s="0"/>
    </row>
    <row r="11" ht="20">
      <c r="A11" s="2"/>
      <c r="B11" s="5"/>
      <c r="C11" s="5"/>
      <c r="D11" s="0"/>
      <c r="E11" s="0"/>
      <c r="F11" s="0"/>
      <c r="G11" s="5"/>
      <c r="H11" s="5"/>
      <c r="I11" s="5"/>
      <c r="J11" s="5"/>
      <c r="K11" s="0"/>
      <c r="L11" s="0"/>
      <c r="M11" s="0"/>
    </row>
    <row r="12" ht="20">
      <c r="A12" s="2"/>
      <c r="B12" s="5"/>
      <c r="C12" s="5"/>
      <c r="D12" s="0"/>
      <c r="E12" s="0"/>
      <c r="F12" s="0"/>
      <c r="G12" s="5"/>
      <c r="H12" s="5"/>
      <c r="I12" s="5"/>
      <c r="J12" s="5"/>
      <c r="K12" s="0"/>
      <c r="L12" s="0"/>
      <c r="M12" s="0"/>
    </row>
    <row r="13" ht="20">
      <c r="A13" s="2"/>
      <c r="B13" s="5"/>
      <c r="C13" s="5"/>
      <c r="D13" s="0"/>
      <c r="E13" s="0"/>
      <c r="F13" s="0"/>
      <c r="G13" s="5"/>
      <c r="H13" s="5"/>
      <c r="I13" s="5"/>
      <c r="J13" s="5"/>
      <c r="K13" s="0"/>
      <c r="L13" s="0"/>
      <c r="M13" s="0"/>
    </row>
    <row r="14" ht="20">
      <c r="A14" s="2"/>
      <c r="B14" s="5"/>
      <c r="C14" s="5"/>
      <c r="D14" s="0"/>
      <c r="E14" s="0"/>
      <c r="F14" s="0"/>
      <c r="G14" s="5"/>
      <c r="H14" s="5"/>
      <c r="I14" s="5"/>
      <c r="J14" s="5"/>
      <c r="K14" s="0"/>
      <c r="L14" s="0"/>
      <c r="M14" s="0"/>
    </row>
    <row r="15" ht="20">
      <c r="A15" s="2"/>
      <c r="B15" s="5"/>
      <c r="C15" s="5"/>
      <c r="D15" s="0"/>
      <c r="E15" s="0"/>
      <c r="F15" s="0"/>
      <c r="G15" s="5"/>
      <c r="H15" s="5"/>
      <c r="I15" s="5"/>
      <c r="J15" s="5"/>
      <c r="K15" s="0"/>
      <c r="L15" s="0"/>
      <c r="M15" s="0"/>
    </row>
    <row r="16" ht="20">
      <c r="A16" s="2"/>
      <c r="B16" s="5"/>
      <c r="C16" s="5"/>
      <c r="D16" s="0"/>
      <c r="E16" s="0"/>
      <c r="F16" s="0"/>
      <c r="G16" s="5"/>
      <c r="H16" s="5"/>
      <c r="I16" s="5"/>
      <c r="J16" s="5"/>
      <c r="K16" s="0"/>
      <c r="L16" s="0"/>
      <c r="M16" s="0"/>
    </row>
    <row r="17" ht="20">
      <c r="A17" s="2"/>
      <c r="B17" s="5"/>
      <c r="C17" s="5"/>
      <c r="D17" s="0"/>
      <c r="E17" s="0"/>
      <c r="F17" s="0"/>
      <c r="G17" s="5"/>
      <c r="H17" s="5"/>
      <c r="I17" s="5"/>
      <c r="J17" s="5"/>
      <c r="K17" s="0"/>
      <c r="L17" s="0"/>
      <c r="M17" s="0"/>
    </row>
    <row r="18" ht="20">
      <c r="A18" s="2"/>
      <c r="B18" s="5"/>
      <c r="C18" s="5"/>
      <c r="D18" s="0"/>
      <c r="E18" s="0"/>
      <c r="F18" s="0"/>
      <c r="G18" s="5"/>
      <c r="H18" s="5"/>
      <c r="I18" s="5"/>
      <c r="J18" s="5"/>
      <c r="K18" s="0"/>
      <c r="L18" s="0"/>
      <c r="M18" s="0"/>
    </row>
    <row r="19" ht="20">
      <c r="A19" s="2"/>
      <c r="B19" s="5"/>
      <c r="C19" s="5"/>
      <c r="D19" s="0"/>
      <c r="E19" s="0"/>
      <c r="F19" s="0"/>
      <c r="G19" s="5"/>
      <c r="H19" s="5"/>
      <c r="I19" s="5"/>
      <c r="J19" s="5"/>
      <c r="K19" s="0"/>
      <c r="L19" s="0"/>
      <c r="M19" s="0"/>
    </row>
    <row r="20" ht="20">
      <c r="A20" s="2"/>
      <c r="B20" s="5"/>
      <c r="C20" s="5"/>
      <c r="D20" s="0"/>
      <c r="E20" s="0"/>
      <c r="F20" s="0"/>
      <c r="G20" s="5"/>
      <c r="H20" s="5"/>
      <c r="I20" s="5"/>
      <c r="J20" s="5"/>
      <c r="K20" s="0"/>
      <c r="L20" s="0"/>
      <c r="M20" s="0"/>
    </row>
    <row r="21" ht="20">
      <c r="A21" s="2"/>
      <c r="B21" s="5"/>
      <c r="C21" s="5"/>
      <c r="D21" s="0"/>
      <c r="E21" s="0"/>
      <c r="F21" s="0"/>
      <c r="G21" s="5"/>
      <c r="H21" s="5"/>
      <c r="I21" s="5"/>
      <c r="J21" s="5"/>
      <c r="K21" s="0"/>
      <c r="L21" s="0"/>
      <c r="M21" s="0"/>
    </row>
    <row r="22" ht="20">
      <c r="A22" s="2"/>
      <c r="B22" s="5"/>
      <c r="C22" s="5"/>
      <c r="D22" s="0"/>
      <c r="E22" s="0"/>
      <c r="F22" s="0"/>
      <c r="G22" s="5"/>
      <c r="H22" s="5"/>
      <c r="I22" s="5"/>
      <c r="J22" s="5"/>
      <c r="K22" s="0"/>
      <c r="L22" s="0"/>
      <c r="M22" s="0"/>
    </row>
    <row r="23" ht="20">
      <c r="A23" s="2"/>
      <c r="B23" s="5"/>
      <c r="C23" s="5"/>
      <c r="D23" s="0"/>
      <c r="E23" s="0"/>
      <c r="F23" s="0"/>
      <c r="G23" s="5"/>
      <c r="H23" s="5"/>
      <c r="I23" s="5"/>
      <c r="J23" s="5"/>
      <c r="K23" s="0"/>
      <c r="L23" s="0"/>
      <c r="M23" s="0"/>
    </row>
    <row r="24" ht="20">
      <c r="A24" s="2"/>
      <c r="B24" s="5"/>
      <c r="C24" s="5"/>
      <c r="D24" s="0"/>
      <c r="E24" s="0"/>
      <c r="F24" s="0"/>
      <c r="G24" s="5"/>
      <c r="H24" s="5"/>
      <c r="I24" s="5"/>
      <c r="J24" s="5"/>
      <c r="K24" s="0"/>
      <c r="L24" s="0"/>
      <c r="M24" s="0"/>
    </row>
    <row r="25" ht="20">
      <c r="A25" s="2"/>
      <c r="B25" s="5"/>
      <c r="C25" s="5"/>
      <c r="D25" s="0"/>
      <c r="E25" s="0"/>
      <c r="F25" s="0"/>
      <c r="G25" s="5"/>
      <c r="H25" s="5"/>
      <c r="I25" s="5"/>
      <c r="J25" s="5"/>
      <c r="K25" s="0"/>
      <c r="L25" s="0"/>
      <c r="M25" s="0"/>
    </row>
    <row r="26" ht="20">
      <c r="A26" s="2"/>
      <c r="B26" s="5"/>
      <c r="C26" s="5"/>
      <c r="D26" s="0"/>
      <c r="E26" s="0"/>
      <c r="F26" s="0"/>
      <c r="G26" s="5"/>
      <c r="H26" s="5"/>
      <c r="I26" s="5"/>
      <c r="J26" s="5"/>
      <c r="K26" s="0"/>
      <c r="L26" s="0"/>
      <c r="M26" s="0"/>
    </row>
    <row r="27" ht="20">
      <c r="A27" s="2"/>
      <c r="B27" s="5"/>
      <c r="C27" s="5"/>
      <c r="D27" s="0"/>
      <c r="E27" s="0"/>
      <c r="F27" s="0"/>
      <c r="G27" s="5"/>
      <c r="H27" s="5"/>
      <c r="I27" s="5"/>
      <c r="J27" s="5"/>
      <c r="K27" s="0"/>
      <c r="L27" s="0"/>
      <c r="M27" s="0"/>
    </row>
    <row r="28" ht="20">
      <c r="A28" s="2"/>
      <c r="B28" s="5"/>
      <c r="C28" s="5"/>
      <c r="D28" s="0"/>
      <c r="E28" s="0"/>
      <c r="F28" s="0"/>
      <c r="G28" s="5"/>
      <c r="H28" s="5"/>
      <c r="I28" s="5"/>
      <c r="J28" s="5"/>
      <c r="K28" s="0"/>
      <c r="L28" s="0"/>
      <c r="M28" s="0"/>
    </row>
    <row r="29" ht="20">
      <c r="A29" s="2"/>
      <c r="B29" s="5"/>
      <c r="C29" s="5"/>
      <c r="D29" s="0"/>
      <c r="E29" s="0"/>
      <c r="F29" s="0"/>
      <c r="G29" s="5"/>
      <c r="H29" s="5"/>
      <c r="I29" s="5"/>
      <c r="J29" s="5"/>
      <c r="K29" s="0"/>
      <c r="L29" s="0"/>
      <c r="M29" s="0"/>
    </row>
  </sheetData>
  <dataValidations count="2">
    <dataValidation type="list" allowBlank="1" showInputMessage="1" showErrorMessage="1" sqref="J2:J30">
      <formula1>"Y,N"</formula1>
    </dataValidation>
    <dataValidation type="list" allowBlank="1" showInputMessage="1" showErrorMessage="1" sqref="G2:I30">
      <formula1>"1,2,3,4,5,6,7,8,9,10"</formula1>
    </dataValidation>
  </dataValidations>
</worksheet>
</file>